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dmin\Documents\SCQF-L6-Course-Materials\SCQF_L6_FINAL_SUBMISSION\source_files\F1FJ12_Spreadsheet_Database\"/>
    </mc:Choice>
  </mc:AlternateContent>
  <xr:revisionPtr revIDLastSave="0" documentId="13_ncr:1_{1B4940A5-3D51-4023-986F-E245C7C7864B}" xr6:coauthVersionLast="47" xr6:coauthVersionMax="47" xr10:uidLastSave="{00000000-0000-0000-0000-000000000000}"/>
  <bookViews>
    <workbookView xWindow="-110" yWindow="-110" windowWidth="25820" windowHeight="15500" xr2:uid="{B129E89F-3830-4A22-8B8C-790BD3AFC67D}"/>
  </bookViews>
  <sheets>
    <sheet name="StoreData" sheetId="4" r:id="rId1"/>
    <sheet name="Employee_Training" sheetId="3" r:id="rId2"/>
    <sheet name="PivotAnalysis" sheetId="2" r:id="rId3"/>
    <sheet name="Sales_Expenses" sheetId="1" r:id="rId4"/>
  </sheets>
  <definedNames>
    <definedName name="_xlnm._FilterDatabase" localSheetId="3" hidden="1">Sales_Expenses!$A$1:$E$55</definedName>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4" l="1"/>
  <c r="D17" i="4"/>
  <c r="C17" i="4"/>
  <c r="B17" i="4"/>
  <c r="E16" i="4"/>
  <c r="D16" i="4"/>
  <c r="C16" i="4"/>
  <c r="B16" i="4"/>
  <c r="E15" i="4"/>
  <c r="D15" i="4"/>
  <c r="C15" i="4"/>
  <c r="B15" i="4"/>
  <c r="Q4" i="3"/>
  <c r="Q3" i="3"/>
  <c r="M3" i="3"/>
  <c r="L3" i="3"/>
  <c r="K3" i="3"/>
  <c r="J4" i="1"/>
  <c r="I4" i="1"/>
  <c r="J3" i="1"/>
  <c r="I3" i="1"/>
  <c r="J2" i="1"/>
  <c r="I2" i="1"/>
</calcChain>
</file>

<file path=xl/sharedStrings.xml><?xml version="1.0" encoding="utf-8"?>
<sst xmlns="http://schemas.openxmlformats.org/spreadsheetml/2006/main" count="285" uniqueCount="94">
  <si>
    <t>Month</t>
  </si>
  <si>
    <t>Product</t>
  </si>
  <si>
    <t>Region</t>
  </si>
  <si>
    <t>Sales</t>
  </si>
  <si>
    <t>Expenses</t>
  </si>
  <si>
    <t>Jan</t>
  </si>
  <si>
    <t>Alpha</t>
  </si>
  <si>
    <t>North</t>
  </si>
  <si>
    <t>South</t>
  </si>
  <si>
    <t>East</t>
  </si>
  <si>
    <t>Beta</t>
  </si>
  <si>
    <t>Gamma</t>
  </si>
  <si>
    <t>Feb</t>
  </si>
  <si>
    <t>Mar</t>
  </si>
  <si>
    <t>Apr</t>
  </si>
  <si>
    <t>May</t>
  </si>
  <si>
    <t>Jun</t>
  </si>
  <si>
    <t>Jan Sales</t>
  </si>
  <si>
    <t>Jan Expenses</t>
  </si>
  <si>
    <t>Row Labels</t>
  </si>
  <si>
    <t>Grand Total</t>
  </si>
  <si>
    <t>Column Labels</t>
  </si>
  <si>
    <t>Sum of Sales</t>
  </si>
  <si>
    <t>Employee ID</t>
  </si>
  <si>
    <t>Employee Name</t>
  </si>
  <si>
    <t>Department</t>
  </si>
  <si>
    <t>Training Program</t>
  </si>
  <si>
    <t>Hours</t>
  </si>
  <si>
    <t>Cost</t>
  </si>
  <si>
    <t>Date Completed</t>
  </si>
  <si>
    <t>E001</t>
  </si>
  <si>
    <t>Sarah Mitchell</t>
  </si>
  <si>
    <t>Marketing</t>
  </si>
  <si>
    <t>Digital Marketing Essentials</t>
  </si>
  <si>
    <t>E002</t>
  </si>
  <si>
    <t>James Cooper</t>
  </si>
  <si>
    <t>IT</t>
  </si>
  <si>
    <t>Cybersecurity Fundamentals</t>
  </si>
  <si>
    <t>E003</t>
  </si>
  <si>
    <t>Emma Watson</t>
  </si>
  <si>
    <t>HR</t>
  </si>
  <si>
    <t>Employment Law Update</t>
  </si>
  <si>
    <t>E004</t>
  </si>
  <si>
    <t>David Kim</t>
  </si>
  <si>
    <t>Finance</t>
  </si>
  <si>
    <t>Advanced Excel Analytics</t>
  </si>
  <si>
    <t>E005</t>
  </si>
  <si>
    <t>Lisa Chen</t>
  </si>
  <si>
    <t>Social Media Strategy</t>
  </si>
  <si>
    <t>E006</t>
  </si>
  <si>
    <t>Robert Taylor</t>
  </si>
  <si>
    <t>Cloud Computing Basics</t>
  </si>
  <si>
    <t>E007</t>
  </si>
  <si>
    <t>Maria Garcia</t>
  </si>
  <si>
    <t>Diversity &amp; Inclusion</t>
  </si>
  <si>
    <t>E008</t>
  </si>
  <si>
    <t>Tom Anderson</t>
  </si>
  <si>
    <t>Financial Modelling</t>
  </si>
  <si>
    <t>E009</t>
  </si>
  <si>
    <t>Amy Johnson</t>
  </si>
  <si>
    <t>Content Creation Workshop</t>
  </si>
  <si>
    <t>E010</t>
  </si>
  <si>
    <t>Chris Brown</t>
  </si>
  <si>
    <t>Python Programming</t>
  </si>
  <si>
    <t>E011</t>
  </si>
  <si>
    <t>Helen Wright</t>
  </si>
  <si>
    <t>Recruitment Best Practices</t>
  </si>
  <si>
    <t>E012</t>
  </si>
  <si>
    <t>Mark Evans</t>
  </si>
  <si>
    <t>Budgeting &amp; Forecasting</t>
  </si>
  <si>
    <t>E013</t>
  </si>
  <si>
    <t>Sophie Clark</t>
  </si>
  <si>
    <t>Brand Management</t>
  </si>
  <si>
    <t>E014</t>
  </si>
  <si>
    <t>Daniel Lee</t>
  </si>
  <si>
    <t>Network Administration</t>
  </si>
  <si>
    <t>E015</t>
  </si>
  <si>
    <t>Rachel Green</t>
  </si>
  <si>
    <t>Performance Management</t>
  </si>
  <si>
    <t>Department Summary</t>
  </si>
  <si>
    <t>Total Hours</t>
  </si>
  <si>
    <t>Total Cost</t>
  </si>
  <si>
    <t>Employee Count</t>
  </si>
  <si>
    <t>VLOOKUP: Employee Training Lookup</t>
  </si>
  <si>
    <t>Enter Employee Name:</t>
  </si>
  <si>
    <t>Training Program:</t>
  </si>
  <si>
    <t>Department:</t>
  </si>
  <si>
    <t>Manager Report: 6-Month Product Sales Summary</t>
  </si>
  <si>
    <t>Total Sales (6 months)</t>
  </si>
  <si>
    <t>Total Sales</t>
  </si>
  <si>
    <t>Accountant Report</t>
  </si>
  <si>
    <t>Total Expenses</t>
  </si>
  <si>
    <t>Profit</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</si>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</sst>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4" x14ac:knownFonts="1">
    <font>
      <sz val="11"/>
      <color theme="1"/>
      <name val="Aptos Narrow"/>
      <family val="2"/>
      <scheme val="minor"/>
    </font>
    <font>
      <b/>
      <sz val="11"/>
      <color theme="1"/>
      <name val="Aptos Narrow"/>
      <family val="2"/>
      <scheme val="minor"/>
    </font>
    <font>
      <b/>
      <sz val="11"/>
      <color rgb="FFFFFFFF"/>
      <name val="Aptos Narrow"/>
      <family val="2"/>
      <scheme val="minor"/>
    </font>
    <font>
      <b/>
      <sz val="14"/>
      <color theme="1"/>
      <name val="Aptos Narrow"/>
      <family val="2"/>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2" fillId="2" borderId="0" xfId="0" applyFont="1" applyFill="1"/>
    <xf numFmtId="3" fontId="0" fillId="0" borderId="0" xfId="0" applyNumberFormat="1"/>
    <xf numFmtId="0" fontId="0" fillId="0" borderId="0" xfId="0" pivotButton="1"/>
    <xf numFmtId="0" fontId="0" fillId="0" borderId="0" xfId="0" applyAlignment="1">
      <alignment horizontal="left"/>
    </xf>
    <xf numFmtId="14" fontId="0" fillId="0" borderId="0" xfId="0" applyNumberFormat="1"/>
    <xf numFmtId="164" fontId="0" fillId="0" borderId="0" xfId="0" applyNumberForma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Sales by Product (6-Month Period)</a:t>
            </a:r>
          </a:p>
        </c:rich>
      </c:tx>
      <c:overlay val="0"/>
    </c:title>
    <c:autoTitleDeleted val="0"/>
    <c:plotArea>
      <c:layout/>
      <c:barChart>
        <c:barDir val="col"/>
        <c:grouping val="clustered"/>
        <c:varyColors val="0"/>
        <c:ser>
          <c:idx val="0"/>
          <c:order val="0"/>
          <c:tx>
            <c:strRef>
              <c:f>StoreData!$B$3</c:f>
              <c:strCache>
                <c:ptCount val="1"/>
                <c:pt idx="0">
                  <c:v>Total Sales (6 months)</c:v>
                </c:pt>
              </c:strCache>
            </c:strRef>
          </c:tx>
          <c:invertIfNegative val="0"/>
          <c:cat>
            <c:strRef>
              <c:f>StoreData!$A$4:$A$6</c:f>
              <c:strCache>
                <c:ptCount val="3"/>
                <c:pt idx="0">
                  <c:v>Alpha</c:v>
                </c:pt>
                <c:pt idx="1">
                  <c:v>Beta</c:v>
                </c:pt>
                <c:pt idx="2">
                  <c:v>Gamma</c:v>
                </c:pt>
              </c:strCache>
            </c:strRef>
          </c:cat>
          <c:val>
            <c:numRef>
              <c:f>StoreData!$B$4:$B$6</c:f>
              <c:numCache>
                <c:formatCode>\£#,##0</c:formatCode>
                <c:ptCount val="3"/>
                <c:pt idx="0">
                  <c:v>835000</c:v>
                </c:pt>
                <c:pt idx="1">
                  <c:v>638000</c:v>
                </c:pt>
                <c:pt idx="2">
                  <c:v>962000</c:v>
                </c:pt>
              </c:numCache>
            </c:numRef>
          </c:val>
          <c:extLst>
            <c:ext xmlns:c16="http://schemas.microsoft.com/office/drawing/2014/chart" uri="{C3380CC4-5D6E-409C-BE32-E72D297353CC}">
              <c16:uniqueId val="{00000001-A68A-4B91-A508-34EC8DAF6AE2}"/>
            </c:ext>
          </c:extLst>
        </c:ser>
        <c:dLbls>
          <c:showLegendKey val="0"/>
          <c:showVal val="0"/>
          <c:showCatName val="0"/>
          <c:showSerName val="0"/>
          <c:showPercent val="0"/>
          <c:showBubbleSize val="0"/>
        </c:dLbls>
        <c:gapWidth val="150"/>
        <c:axId val="1816375567"/>
        <c:axId val="1816376527"/>
      </c:barChart>
      <c:catAx>
        <c:axId val="1816375567"/>
        <c:scaling>
          <c:orientation val="minMax"/>
        </c:scaling>
        <c:delete val="0"/>
        <c:axPos val="b"/>
        <c:numFmt formatCode="General" sourceLinked="1"/>
        <c:majorTickMark val="out"/>
        <c:minorTickMark val="none"/>
        <c:tickLblPos val="nextTo"/>
        <c:crossAx val="1816376527"/>
        <c:crosses val="autoZero"/>
        <c:auto val="1"/>
        <c:lblAlgn val="ctr"/>
        <c:lblOffset val="100"/>
        <c:noMultiLvlLbl val="0"/>
      </c:catAx>
      <c:valAx>
        <c:axId val="1816376527"/>
        <c:scaling>
          <c:orientation val="minMax"/>
        </c:scaling>
        <c:delete val="0"/>
        <c:axPos val="l"/>
        <c:majorGridlines/>
        <c:title>
          <c:tx>
            <c:rich>
              <a:bodyPr/>
              <a:lstStyle/>
              <a:p>
                <a:pPr>
                  <a:defRPr/>
                </a:pPr>
                <a:r>
                  <a:rPr lang="en-US"/>
                  <a:t>Sales (GBP)</a:t>
                </a:r>
              </a:p>
            </c:rich>
          </c:tx>
          <c:overlay val="0"/>
        </c:title>
        <c:numFmt formatCode="\£#,##0" sourceLinked="1"/>
        <c:majorTickMark val="out"/>
        <c:minorTickMark val="none"/>
        <c:tickLblPos val="nextTo"/>
        <c:crossAx val="181637556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Sales Trend with Forecast</a:t>
            </a:r>
          </a:p>
        </c:rich>
      </c:tx>
      <c:overlay val="0"/>
    </c:title>
    <c:autoTitleDeleted val="0"/>
    <c:plotArea>
      <c:layout/>
      <c:lineChart>
        <c:grouping val="standard"/>
        <c:varyColors val="0"/>
        <c:ser>
          <c:idx val="0"/>
          <c:order val="0"/>
          <c:tx>
            <c:strRef>
              <c:f>StoreData!$F$3</c:f>
              <c:strCache>
                <c:ptCount val="1"/>
                <c:pt idx="0">
                  <c:v>Total Sales</c:v>
                </c:pt>
              </c:strCache>
            </c:strRef>
          </c:tx>
          <c:trendline>
            <c:trendlineType val="linear"/>
            <c:forward val="2"/>
            <c:dispRSqr val="1"/>
            <c:dispEq val="1"/>
            <c:trendlineLbl>
              <c:numFmt formatCode="General" sourceLinked="0"/>
            </c:trendlineLbl>
          </c:trendline>
          <c:cat>
            <c:strRef>
              <c:f>StoreData!$E$4:$E$9</c:f>
              <c:strCache>
                <c:ptCount val="6"/>
                <c:pt idx="0">
                  <c:v>Jan</c:v>
                </c:pt>
                <c:pt idx="1">
                  <c:v>Feb</c:v>
                </c:pt>
                <c:pt idx="2">
                  <c:v>Mar</c:v>
                </c:pt>
                <c:pt idx="3">
                  <c:v>Apr</c:v>
                </c:pt>
                <c:pt idx="4">
                  <c:v>May</c:v>
                </c:pt>
                <c:pt idx="5">
                  <c:v>Jun</c:v>
                </c:pt>
              </c:strCache>
            </c:strRef>
          </c:cat>
          <c:val>
            <c:numRef>
              <c:f>StoreData!$F$4:$F$9</c:f>
              <c:numCache>
                <c:formatCode>\£#,##0</c:formatCode>
                <c:ptCount val="6"/>
                <c:pt idx="0">
                  <c:v>365000</c:v>
                </c:pt>
                <c:pt idx="1">
                  <c:v>378000</c:v>
                </c:pt>
                <c:pt idx="2">
                  <c:v>396000</c:v>
                </c:pt>
                <c:pt idx="3">
                  <c:v>414000</c:v>
                </c:pt>
                <c:pt idx="4">
                  <c:v>432000</c:v>
                </c:pt>
                <c:pt idx="5">
                  <c:v>450000</c:v>
                </c:pt>
              </c:numCache>
            </c:numRef>
          </c:val>
          <c:smooth val="0"/>
          <c:extLst>
            <c:ext xmlns:c16="http://schemas.microsoft.com/office/drawing/2014/chart" uri="{C3380CC4-5D6E-409C-BE32-E72D297353CC}">
              <c16:uniqueId val="{00000001-5927-4956-A52E-9840D3176710}"/>
            </c:ext>
          </c:extLst>
        </c:ser>
        <c:dLbls>
          <c:showLegendKey val="0"/>
          <c:showVal val="0"/>
          <c:showCatName val="0"/>
          <c:showSerName val="0"/>
          <c:showPercent val="0"/>
          <c:showBubbleSize val="0"/>
        </c:dLbls>
        <c:marker val="1"/>
        <c:smooth val="0"/>
        <c:axId val="1457816927"/>
        <c:axId val="1457810687"/>
      </c:lineChart>
      <c:catAx>
        <c:axId val="1457816927"/>
        <c:scaling>
          <c:orientation val="minMax"/>
        </c:scaling>
        <c:delete val="0"/>
        <c:axPos val="b"/>
        <c:numFmt formatCode="General" sourceLinked="1"/>
        <c:majorTickMark val="out"/>
        <c:minorTickMark val="none"/>
        <c:tickLblPos val="nextTo"/>
        <c:crossAx val="1457810687"/>
        <c:crosses val="autoZero"/>
        <c:auto val="1"/>
        <c:lblAlgn val="ctr"/>
        <c:lblOffset val="100"/>
        <c:noMultiLvlLbl val="0"/>
      </c:catAx>
      <c:valAx>
        <c:axId val="1457810687"/>
        <c:scaling>
          <c:orientation val="minMax"/>
        </c:scaling>
        <c:delete val="0"/>
        <c:axPos val="l"/>
        <c:majorGridlines/>
        <c:title>
          <c:tx>
            <c:rich>
              <a:bodyPr/>
              <a:lstStyle/>
              <a:p>
                <a:pPr>
                  <a:defRPr/>
                </a:pPr>
                <a:r>
                  <a:rPr lang="en-US"/>
                  <a:t>Total Sales (GBP)</a:t>
                </a:r>
              </a:p>
            </c:rich>
          </c:tx>
          <c:overlay val="0"/>
        </c:title>
        <c:numFmt formatCode="\£#,##0" sourceLinked="1"/>
        <c:majorTickMark val="out"/>
        <c:minorTickMark val="none"/>
        <c:tickLblPos val="nextTo"/>
        <c:crossAx val="14578169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January: Sales vs Expenses by Product</a:t>
            </a:r>
          </a:p>
        </c:rich>
      </c:tx>
      <c:overlay val="0"/>
    </c:title>
    <c:autoTitleDeleted val="0"/>
    <c:plotArea>
      <c:layout/>
      <c:barChart>
        <c:barDir val="col"/>
        <c:grouping val="clustered"/>
        <c:varyColors val="0"/>
        <c:ser>
          <c:idx val="0"/>
          <c:order val="0"/>
          <c:tx>
            <c:strRef>
              <c:f>Sales_Expenses!$I$1</c:f>
              <c:strCache>
                <c:ptCount val="1"/>
                <c:pt idx="0">
                  <c:v>Jan Sales</c:v>
                </c:pt>
              </c:strCache>
            </c:strRef>
          </c:tx>
          <c:invertIfNegative val="0"/>
          <c:cat>
            <c:strRef>
              <c:f>Sales_Expenses!$H$2:$H$4</c:f>
              <c:strCache>
                <c:ptCount val="1"/>
                <c:pt idx="0">
                  <c:v>Alpha</c:v>
                </c:pt>
              </c:strCache>
            </c:strRef>
          </c:cat>
          <c:val>
            <c:numRef>
              <c:f>Sales_Expenses!$I$2:$I$4</c:f>
              <c:numCache>
                <c:formatCode>General</c:formatCode>
                <c:ptCount val="1"/>
                <c:pt idx="0">
                  <c:v>125000</c:v>
                </c:pt>
              </c:numCache>
            </c:numRef>
          </c:val>
          <c:extLst>
            <c:ext xmlns:c16="http://schemas.microsoft.com/office/drawing/2014/chart" uri="{C3380CC4-5D6E-409C-BE32-E72D297353CC}">
              <c16:uniqueId val="{00000002-4F4F-4047-8C4E-EDB40B64007F}"/>
            </c:ext>
          </c:extLst>
        </c:ser>
        <c:ser>
          <c:idx val="1"/>
          <c:order val="1"/>
          <c:tx>
            <c:strRef>
              <c:f>Sales_Expenses!$J$1</c:f>
              <c:strCache>
                <c:ptCount val="1"/>
                <c:pt idx="0">
                  <c:v>Jan Expenses</c:v>
                </c:pt>
              </c:strCache>
            </c:strRef>
          </c:tx>
          <c:invertIfNegative val="0"/>
          <c:cat>
            <c:strRef>
              <c:f>Sales_Expenses!$H$2:$H$4</c:f>
              <c:strCache>
                <c:ptCount val="1"/>
                <c:pt idx="0">
                  <c:v>Alpha</c:v>
                </c:pt>
              </c:strCache>
            </c:strRef>
          </c:cat>
          <c:val>
            <c:numRef>
              <c:f>Sales_Expenses!$J$2:$J$4</c:f>
              <c:numCache>
                <c:formatCode>General</c:formatCode>
                <c:ptCount val="1"/>
                <c:pt idx="0">
                  <c:v>78000</c:v>
                </c:pt>
              </c:numCache>
            </c:numRef>
          </c:val>
          <c:extLst>
            <c:ext xmlns:c16="http://schemas.microsoft.com/office/drawing/2014/chart" uri="{C3380CC4-5D6E-409C-BE32-E72D297353CC}">
              <c16:uniqueId val="{00000003-4F4F-4047-8C4E-EDB40B64007F}"/>
            </c:ext>
          </c:extLst>
        </c:ser>
        <c:dLbls>
          <c:showLegendKey val="0"/>
          <c:showVal val="0"/>
          <c:showCatName val="0"/>
          <c:showSerName val="0"/>
          <c:showPercent val="0"/>
          <c:showBubbleSize val="0"/>
        </c:dLbls>
        <c:gapWidth val="150"/>
        <c:axId val="1816369807"/>
        <c:axId val="1816370767"/>
      </c:barChart>
      <c:catAx>
        <c:axId val="1816369807"/>
        <c:scaling>
          <c:orientation val="minMax"/>
        </c:scaling>
        <c:delete val="0"/>
        <c:axPos val="b"/>
        <c:title>
          <c:tx>
            <c:rich>
              <a:bodyPr/>
              <a:lstStyle/>
              <a:p>
                <a:pPr>
                  <a:defRPr/>
                </a:pPr>
                <a:r>
                  <a:rPr lang="en-US"/>
                  <a:t>Product</a:t>
                </a:r>
              </a:p>
            </c:rich>
          </c:tx>
          <c:overlay val="0"/>
        </c:title>
        <c:numFmt formatCode="General" sourceLinked="1"/>
        <c:majorTickMark val="out"/>
        <c:minorTickMark val="none"/>
        <c:tickLblPos val="nextTo"/>
        <c:crossAx val="1816370767"/>
        <c:crosses val="autoZero"/>
        <c:auto val="1"/>
        <c:lblAlgn val="ctr"/>
        <c:lblOffset val="100"/>
        <c:noMultiLvlLbl val="0"/>
      </c:catAx>
      <c:valAx>
        <c:axId val="1816370767"/>
        <c:scaling>
          <c:orientation val="minMax"/>
        </c:scaling>
        <c:delete val="0"/>
        <c:axPos val="l"/>
        <c:majorGridlines/>
        <c:title>
          <c:tx>
            <c:rich>
              <a:bodyPr/>
              <a:lstStyle/>
              <a:p>
                <a:pPr>
                  <a:defRPr/>
                </a:pPr>
                <a:r>
                  <a:rPr lang="en-US"/>
                  <a:t>Amount (GBP)</a:t>
                </a:r>
              </a:p>
            </c:rich>
          </c:tx>
          <c:overlay val="0"/>
        </c:title>
        <c:numFmt formatCode="General" sourceLinked="1"/>
        <c:majorTickMark val="out"/>
        <c:minorTickMark val="none"/>
        <c:tickLblPos val="nextTo"/>
        <c:crossAx val="181636980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127000</xdr:colOff>
      <xdr:row>8</xdr:row>
      <xdr:rowOff>0</xdr:rowOff>
    </xdr:from>
    <xdr:to>
      <xdr:col>8</xdr:col>
      <xdr:colOff>330200</xdr:colOff>
      <xdr:row>27</xdr:row>
      <xdr:rowOff>57150</xdr:rowOff>
    </xdr:to>
    <xdr:graphicFrame macro="">
      <xdr:nvGraphicFramePr>
        <xdr:cNvPr id="2" name="TotalSalesChart">
          <a:extLst>
            <a:ext uri="{FF2B5EF4-FFF2-40B4-BE49-F238E27FC236}">
              <a16:creationId xmlns:a16="http://schemas.microsoft.com/office/drawing/2014/main" id="{41431E2A-6B88-956E-7161-6ADD01CD5C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584200</xdr:colOff>
      <xdr:row>8</xdr:row>
      <xdr:rowOff>0</xdr:rowOff>
    </xdr:from>
    <xdr:to>
      <xdr:col>18</xdr:col>
      <xdr:colOff>203200</xdr:colOff>
      <xdr:row>28</xdr:row>
      <xdr:rowOff>127000</xdr:rowOff>
    </xdr:to>
    <xdr:graphicFrame macro="">
      <xdr:nvGraphicFramePr>
        <xdr:cNvPr id="3" name="TrendChart">
          <a:extLst>
            <a:ext uri="{FF2B5EF4-FFF2-40B4-BE49-F238E27FC236}">
              <a16:creationId xmlns:a16="http://schemas.microsoft.com/office/drawing/2014/main" id="{B1B093CB-22FA-B8B3-5422-6E3786525B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349250</xdr:colOff>
      <xdr:row>16</xdr:row>
      <xdr:rowOff>139700</xdr:rowOff>
    </xdr:from>
    <xdr:to>
      <xdr:col>13</xdr:col>
      <xdr:colOff>349250</xdr:colOff>
      <xdr:row>30</xdr:row>
      <xdr:rowOff>180972</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55C92C24-605C-F2A0-B2B3-580F1098A05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112000" y="3086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9</xdr:col>
      <xdr:colOff>228600</xdr:colOff>
      <xdr:row>5</xdr:row>
      <xdr:rowOff>95250</xdr:rowOff>
    </xdr:from>
    <xdr:to>
      <xdr:col>17</xdr:col>
      <xdr:colOff>431800</xdr:colOff>
      <xdr:row>24</xdr:row>
      <xdr:rowOff>152400</xdr:rowOff>
    </xdr:to>
    <xdr:graphicFrame macro="">
      <xdr:nvGraphicFramePr>
        <xdr:cNvPr id="2" name="JanSalesExpensesChart">
          <a:extLst>
            <a:ext uri="{FF2B5EF4-FFF2-40B4-BE49-F238E27FC236}">
              <a16:creationId xmlns:a16="http://schemas.microsoft.com/office/drawing/2014/main" id="{71EC5A76-7DC1-280C-AD3B-CC3804D8B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79.413919328705" createdVersion="8" refreshedVersion="8" minRefreshableVersion="3" recordCount="54" xr:uid="{A2C8BB69-305D-4B72-9803-529E7E1FE9EC}">
  <cacheSource type="worksheet">
    <worksheetSource ref="A1:E55" sheet="Sales_Expenses"/>
  </cacheSource>
  <cacheFields count="5">
    <cacheField name="Month" numFmtId="0">
      <sharedItems count="6">
        <s v="Jan"/>
        <s v="Feb"/>
        <s v="Mar"/>
        <s v="Apr"/>
        <s v="May"/>
        <s v="Jun"/>
      </sharedItems>
    </cacheField>
    <cacheField name="Product" numFmtId="0">
      <sharedItems count="3">
        <s v="Alpha"/>
        <s v="Beta"/>
        <s v="Gamma"/>
      </sharedItems>
    </cacheField>
    <cacheField name="Region" numFmtId="0">
      <sharedItems count="3">
        <s v="North"/>
        <s v="South"/>
        <s v="East"/>
      </sharedItems>
    </cacheField>
    <cacheField name="Sales" numFmtId="3">
      <sharedItems containsSemiMixedTypes="0" containsString="0" containsNumber="1" containsInteger="1" minValue="29000" maxValue="61000"/>
    </cacheField>
    <cacheField name="Expenses" numFmtId="3">
      <sharedItems containsSemiMixedTypes="0" containsString="0" containsNumber="1" containsInteger="1" minValue="18000" maxValue="37000"/>
    </cacheField>
  </cacheFields>
  <extLst>
    <ext xmlns:x14="http://schemas.microsoft.com/office/spreadsheetml/2009/9/main" uri="{725AE2AE-9491-48be-B2B4-4EB974FC3084}">
      <x14:pivotCacheDefinition pivotCacheId="1329253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x v="0"/>
    <x v="0"/>
    <n v="45000"/>
    <n v="28000"/>
  </r>
  <r>
    <x v="0"/>
    <x v="0"/>
    <x v="1"/>
    <n v="38000"/>
    <n v="24000"/>
  </r>
  <r>
    <x v="0"/>
    <x v="0"/>
    <x v="2"/>
    <n v="42000"/>
    <n v="26000"/>
  </r>
  <r>
    <x v="0"/>
    <x v="1"/>
    <x v="0"/>
    <n v="33000"/>
    <n v="20000"/>
  </r>
  <r>
    <x v="0"/>
    <x v="1"/>
    <x v="1"/>
    <n v="29000"/>
    <n v="18000"/>
  </r>
  <r>
    <x v="0"/>
    <x v="1"/>
    <x v="2"/>
    <n v="31000"/>
    <n v="19000"/>
  </r>
  <r>
    <x v="0"/>
    <x v="2"/>
    <x v="0"/>
    <n v="51000"/>
    <n v="32000"/>
  </r>
  <r>
    <x v="0"/>
    <x v="2"/>
    <x v="1"/>
    <n v="47000"/>
    <n v="30000"/>
  </r>
  <r>
    <x v="0"/>
    <x v="2"/>
    <x v="2"/>
    <n v="49000"/>
    <n v="31000"/>
  </r>
  <r>
    <x v="1"/>
    <x v="0"/>
    <x v="0"/>
    <n v="47000"/>
    <n v="29000"/>
  </r>
  <r>
    <x v="1"/>
    <x v="0"/>
    <x v="1"/>
    <n v="39000"/>
    <n v="25000"/>
  </r>
  <r>
    <x v="1"/>
    <x v="0"/>
    <x v="2"/>
    <n v="44000"/>
    <n v="27000"/>
  </r>
  <r>
    <x v="1"/>
    <x v="1"/>
    <x v="0"/>
    <n v="35000"/>
    <n v="21000"/>
  </r>
  <r>
    <x v="1"/>
    <x v="1"/>
    <x v="1"/>
    <n v="30000"/>
    <n v="19000"/>
  </r>
  <r>
    <x v="1"/>
    <x v="1"/>
    <x v="2"/>
    <n v="32000"/>
    <n v="20000"/>
  </r>
  <r>
    <x v="1"/>
    <x v="2"/>
    <x v="0"/>
    <n v="53000"/>
    <n v="33000"/>
  </r>
  <r>
    <x v="1"/>
    <x v="2"/>
    <x v="1"/>
    <n v="48000"/>
    <n v="31000"/>
  </r>
  <r>
    <x v="1"/>
    <x v="2"/>
    <x v="2"/>
    <n v="50000"/>
    <n v="32000"/>
  </r>
  <r>
    <x v="2"/>
    <x v="0"/>
    <x v="0"/>
    <n v="49000"/>
    <n v="30000"/>
  </r>
  <r>
    <x v="2"/>
    <x v="0"/>
    <x v="1"/>
    <n v="41000"/>
    <n v="26000"/>
  </r>
  <r>
    <x v="2"/>
    <x v="0"/>
    <x v="2"/>
    <n v="46000"/>
    <n v="28000"/>
  </r>
  <r>
    <x v="2"/>
    <x v="1"/>
    <x v="0"/>
    <n v="37000"/>
    <n v="22000"/>
  </r>
  <r>
    <x v="2"/>
    <x v="1"/>
    <x v="1"/>
    <n v="32000"/>
    <n v="20000"/>
  </r>
  <r>
    <x v="2"/>
    <x v="1"/>
    <x v="2"/>
    <n v="34000"/>
    <n v="21000"/>
  </r>
  <r>
    <x v="2"/>
    <x v="2"/>
    <x v="0"/>
    <n v="55000"/>
    <n v="34000"/>
  </r>
  <r>
    <x v="2"/>
    <x v="2"/>
    <x v="1"/>
    <n v="50000"/>
    <n v="32000"/>
  </r>
  <r>
    <x v="2"/>
    <x v="2"/>
    <x v="2"/>
    <n v="52000"/>
    <n v="33000"/>
  </r>
  <r>
    <x v="3"/>
    <x v="0"/>
    <x v="0"/>
    <n v="51000"/>
    <n v="31000"/>
  </r>
  <r>
    <x v="3"/>
    <x v="0"/>
    <x v="1"/>
    <n v="43000"/>
    <n v="27000"/>
  </r>
  <r>
    <x v="3"/>
    <x v="0"/>
    <x v="2"/>
    <n v="48000"/>
    <n v="29000"/>
  </r>
  <r>
    <x v="3"/>
    <x v="1"/>
    <x v="0"/>
    <n v="39000"/>
    <n v="23000"/>
  </r>
  <r>
    <x v="3"/>
    <x v="1"/>
    <x v="1"/>
    <n v="34000"/>
    <n v="21000"/>
  </r>
  <r>
    <x v="3"/>
    <x v="1"/>
    <x v="2"/>
    <n v="36000"/>
    <n v="22000"/>
  </r>
  <r>
    <x v="3"/>
    <x v="2"/>
    <x v="0"/>
    <n v="57000"/>
    <n v="35000"/>
  </r>
  <r>
    <x v="3"/>
    <x v="2"/>
    <x v="1"/>
    <n v="52000"/>
    <n v="33000"/>
  </r>
  <r>
    <x v="3"/>
    <x v="2"/>
    <x v="2"/>
    <n v="54000"/>
    <n v="34000"/>
  </r>
  <r>
    <x v="4"/>
    <x v="0"/>
    <x v="0"/>
    <n v="53000"/>
    <n v="32000"/>
  </r>
  <r>
    <x v="4"/>
    <x v="0"/>
    <x v="1"/>
    <n v="45000"/>
    <n v="28000"/>
  </r>
  <r>
    <x v="4"/>
    <x v="0"/>
    <x v="2"/>
    <n v="50000"/>
    <n v="30000"/>
  </r>
  <r>
    <x v="4"/>
    <x v="1"/>
    <x v="0"/>
    <n v="41000"/>
    <n v="24000"/>
  </r>
  <r>
    <x v="4"/>
    <x v="1"/>
    <x v="1"/>
    <n v="36000"/>
    <n v="22000"/>
  </r>
  <r>
    <x v="4"/>
    <x v="1"/>
    <x v="2"/>
    <n v="38000"/>
    <n v="23000"/>
  </r>
  <r>
    <x v="4"/>
    <x v="2"/>
    <x v="0"/>
    <n v="59000"/>
    <n v="36000"/>
  </r>
  <r>
    <x v="4"/>
    <x v="2"/>
    <x v="1"/>
    <n v="54000"/>
    <n v="34000"/>
  </r>
  <r>
    <x v="4"/>
    <x v="2"/>
    <x v="2"/>
    <n v="56000"/>
    <n v="35000"/>
  </r>
  <r>
    <x v="5"/>
    <x v="0"/>
    <x v="0"/>
    <n v="55000"/>
    <n v="33000"/>
  </r>
  <r>
    <x v="5"/>
    <x v="0"/>
    <x v="1"/>
    <n v="47000"/>
    <n v="29000"/>
  </r>
  <r>
    <x v="5"/>
    <x v="0"/>
    <x v="2"/>
    <n v="52000"/>
    <n v="31000"/>
  </r>
  <r>
    <x v="5"/>
    <x v="1"/>
    <x v="0"/>
    <n v="43000"/>
    <n v="25000"/>
  </r>
  <r>
    <x v="5"/>
    <x v="1"/>
    <x v="1"/>
    <n v="38000"/>
    <n v="23000"/>
  </r>
  <r>
    <x v="5"/>
    <x v="1"/>
    <x v="2"/>
    <n v="40000"/>
    <n v="24000"/>
  </r>
  <r>
    <x v="5"/>
    <x v="2"/>
    <x v="0"/>
    <n v="61000"/>
    <n v="37000"/>
  </r>
  <r>
    <x v="5"/>
    <x v="2"/>
    <x v="1"/>
    <n v="56000"/>
    <n v="35000"/>
  </r>
  <r>
    <x v="5"/>
    <x v="2"/>
    <x v="2"/>
    <n v="58000"/>
    <n v="3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FA8671-0ADE-4017-938D-5ABC747082B7}" name="SalesExpenses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8" firstHeaderRow="1" firstDataRow="2" firstDataCol="1"/>
  <pivotFields count="5">
    <pivotField showAll="0">
      <items count="7">
        <item x="0"/>
        <item x="1"/>
        <item x="2"/>
        <item x="3"/>
        <item x="4"/>
        <item x="5"/>
        <item t="default"/>
      </items>
    </pivotField>
    <pivotField axis="axisRow" showAll="0">
      <items count="4">
        <item x="0"/>
        <item x="1"/>
        <item x="2"/>
        <item t="default"/>
      </items>
    </pivotField>
    <pivotField axis="axisCol" showAll="0">
      <items count="4">
        <item x="2"/>
        <item x="0"/>
        <item x="1"/>
        <item t="default"/>
      </items>
    </pivotField>
    <pivotField dataField="1" numFmtId="3" showAll="0"/>
    <pivotField numFmtId="3" showAll="0"/>
  </pivotFields>
  <rowFields count="1">
    <field x="1"/>
  </rowFields>
  <rowItems count="4">
    <i>
      <x/>
    </i>
    <i>
      <x v="1"/>
    </i>
    <i>
      <x v="2"/>
    </i>
    <i t="grand">
      <x/>
    </i>
  </rowItems>
  <colFields count="1">
    <field x="2"/>
  </colFields>
  <colItems count="4">
    <i>
      <x/>
    </i>
    <i>
      <x v="1"/>
    </i>
    <i>
      <x v="2"/>
    </i>
    <i t="grand">
      <x/>
    </i>
  </colItems>
  <dataFields count="1">
    <dataField name="Sum of Sales"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FCEE6B-8B20-4039-BFC4-386700E2A090}" sourceName="Month">
  <pivotTables>
    <pivotTable tabId="2" name="SalesExpensesPivot"/>
  </pivotTables>
  <data>
    <tabular pivotCacheId="1329253091">
      <items count="6">
        <i x="0" s="1"/>
        <i x="1" s="1"/>
        <i x="2" s="1"/>
        <i x="3"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4210983-31E8-48B7-9FDC-F27300B89882}" cache="Slicer_Month" caption="Month"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DD6D-0F0F-4854-B841-F68048FA64B5}">
  <sheetPr codeName="Sheet1"/>
  <dimension ref="A1:F17"/>
  <sheetViews>
    <sheetView tabSelected="1" workbookViewId="0"/>
  </sheetViews>
  <sheetFormatPr defaultRowHeight="14.5" x14ac:dyDescent="0.35"/>
  <cols>
    <col min="1" max="1" width="54" bestFit="1" customWidth="1"/>
    <col min="2" max="2" width="19.36328125" bestFit="1" customWidth="1"/>
    <col min="3" max="3" width="13.26953125" bestFit="1" customWidth="1"/>
    <col min="4" max="4" width="8.36328125" bestFit="1" customWidth="1"/>
    <col min="5" max="5" width="10.453125" bestFit="1" customWidth="1"/>
    <col min="6" max="6" width="9.81640625" bestFit="1" customWidth="1"/>
  </cols>
  <sheetData>
    <row r="1" spans="1:6" ht="18.5" x14ac:dyDescent="0.45">
      <c r="A1" s="8" t="s">
        <v>87</v>
      </c>
    </row>
    <row r="3" spans="1:6" x14ac:dyDescent="0.35">
      <c r="A3" s="1" t="s">
        <v>1</v>
      </c>
      <c r="B3" s="1" t="s">
        <v>88</v>
      </c>
      <c r="E3" s="1" t="s">
        <v>0</v>
      </c>
      <c r="F3" s="1" t="s">
        <v>89</v>
      </c>
    </row>
    <row r="4" spans="1:6" x14ac:dyDescent="0.35">
      <c r="A4" t="s">
        <v>6</v>
      </c>
      <c r="B4" s="7">
        <v>835000</v>
      </c>
      <c r="E4" t="s">
        <v>5</v>
      </c>
      <c r="F4" s="7">
        <v>365000</v>
      </c>
    </row>
    <row r="5" spans="1:6" x14ac:dyDescent="0.35">
      <c r="A5" t="s">
        <v>10</v>
      </c>
      <c r="B5" s="7">
        <v>638000</v>
      </c>
      <c r="E5" t="s">
        <v>12</v>
      </c>
      <c r="F5" s="7">
        <v>378000</v>
      </c>
    </row>
    <row r="6" spans="1:6" x14ac:dyDescent="0.35">
      <c r="A6" t="s">
        <v>11</v>
      </c>
      <c r="B6" s="7">
        <v>962000</v>
      </c>
      <c r="E6" t="s">
        <v>13</v>
      </c>
      <c r="F6" s="7">
        <v>396000</v>
      </c>
    </row>
    <row r="7" spans="1:6" x14ac:dyDescent="0.35">
      <c r="E7" t="s">
        <v>14</v>
      </c>
      <c r="F7" s="7">
        <v>414000</v>
      </c>
    </row>
    <row r="8" spans="1:6" x14ac:dyDescent="0.35">
      <c r="E8" t="s">
        <v>15</v>
      </c>
      <c r="F8" s="7">
        <v>432000</v>
      </c>
    </row>
    <row r="9" spans="1:6" x14ac:dyDescent="0.35">
      <c r="E9" t="s">
        <v>16</v>
      </c>
      <c r="F9" s="7">
        <v>450000</v>
      </c>
    </row>
    <row r="12" spans="1:6" ht="18.5" x14ac:dyDescent="0.45">
      <c r="A12" s="8" t="s">
        <v>90</v>
      </c>
    </row>
    <row r="14" spans="1:6" x14ac:dyDescent="0.35">
      <c r="A14" s="2" t="s">
        <v>1</v>
      </c>
      <c r="B14" s="2" t="s">
        <v>89</v>
      </c>
      <c r="C14" s="2" t="s">
        <v>91</v>
      </c>
      <c r="D14" s="2" t="s">
        <v>92</v>
      </c>
      <c r="E14" s="2" t="s">
        <v>93</v>
      </c>
    </row>
    <row r="15" spans="1:6" x14ac:dyDescent="0.35">
      <c r="A15" t="s">
        <v>6</v>
      </c>
      <c r="B15" s="7">
        <f>SUMIF(Sales_Expenses!B2:B55,A15,Sales_Expenses!D2:D55)</f>
        <v>835000</v>
      </c>
      <c r="C15" s="7">
        <f>SUMIF(Sales_Expenses!B2:B55,A15,Sales_Expenses!E2:E55)</f>
        <v>513000</v>
      </c>
      <c r="D15" s="7">
        <f>B15-C15</f>
        <v>322000</v>
      </c>
      <c r="E15" t="str">
        <f>IF(D15&lt;20000,"LOW PROFIT","Satisfactory")</f>
        <v>Satisfactory</v>
      </c>
    </row>
    <row r="16" spans="1:6" x14ac:dyDescent="0.35">
      <c r="A16" t="s">
        <v>10</v>
      </c>
      <c r="B16" s="7">
        <f>SUMIF(Sales_Expenses!B2:B55,A16,Sales_Expenses!D2:D55)</f>
        <v>638000</v>
      </c>
      <c r="C16" s="7">
        <f>SUMIF(Sales_Expenses!B2:B55,A16,Sales_Expenses!E2:E55)</f>
        <v>387000</v>
      </c>
      <c r="D16" s="7">
        <f>B16-C16</f>
        <v>251000</v>
      </c>
      <c r="E16" t="str">
        <f>IF(D16&lt;20000,"LOW PROFIT","Satisfactory")</f>
        <v>Satisfactory</v>
      </c>
    </row>
    <row r="17" spans="1:5" x14ac:dyDescent="0.35">
      <c r="A17" t="s">
        <v>11</v>
      </c>
      <c r="B17" s="7">
        <f>SUMIF(Sales_Expenses!B2:B55,A17,Sales_Expenses!D2:D55)</f>
        <v>962000</v>
      </c>
      <c r="C17" s="7">
        <f>SUMIF(Sales_Expenses!B2:B55,A17,Sales_Expenses!E2:E55)</f>
        <v>603000</v>
      </c>
      <c r="D17" s="7">
        <f>B17-C17</f>
        <v>359000</v>
      </c>
      <c r="E17" t="str">
        <f>IF(D17&lt;20000,"LOW PROFIT","Satisfactory")</f>
        <v>Satisfactory</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7ED10-CBB9-47E3-A799-F182BDF29C80}">
  <sheetPr codeName="Sheet2"/>
  <dimension ref="A1:Q16"/>
  <sheetViews>
    <sheetView workbookViewId="0"/>
  </sheetViews>
  <sheetFormatPr defaultRowHeight="14.5" x14ac:dyDescent="0.35"/>
  <cols>
    <col min="1" max="1" width="11.1796875" bestFit="1" customWidth="1"/>
    <col min="2" max="2" width="14.36328125" bestFit="1" customWidth="1"/>
    <col min="3" max="3" width="10.81640625" bestFit="1" customWidth="1"/>
    <col min="4" max="4" width="24.1796875" bestFit="1" customWidth="1"/>
    <col min="5" max="5" width="5.7265625" bestFit="1" customWidth="1"/>
    <col min="6" max="6" width="4.81640625" bestFit="1" customWidth="1"/>
    <col min="7" max="7" width="14.453125" bestFit="1" customWidth="1"/>
    <col min="10" max="10" width="19.36328125" bestFit="1" customWidth="1"/>
    <col min="11" max="11" width="10.1796875" bestFit="1" customWidth="1"/>
    <col min="12" max="12" width="9.08984375" bestFit="1" customWidth="1"/>
    <col min="13" max="13" width="14.54296875" bestFit="1" customWidth="1"/>
    <col min="16" max="16" width="31.90625" bestFit="1" customWidth="1"/>
    <col min="17" max="17" width="23.26953125" bestFit="1" customWidth="1"/>
  </cols>
  <sheetData>
    <row r="1" spans="1:17" x14ac:dyDescent="0.35">
      <c r="A1" s="2" t="s">
        <v>23</v>
      </c>
      <c r="B1" s="2" t="s">
        <v>24</v>
      </c>
      <c r="C1" s="2" t="s">
        <v>25</v>
      </c>
      <c r="D1" s="2" t="s">
        <v>26</v>
      </c>
      <c r="E1" s="2" t="s">
        <v>27</v>
      </c>
      <c r="F1" s="2" t="s">
        <v>28</v>
      </c>
      <c r="G1" s="2" t="s">
        <v>29</v>
      </c>
      <c r="J1" s="1" t="s">
        <v>79</v>
      </c>
      <c r="P1" s="1" t="s">
        <v>83</v>
      </c>
    </row>
    <row r="2" spans="1:17" x14ac:dyDescent="0.35">
      <c r="A2" t="s">
        <v>30</v>
      </c>
      <c r="B2" t="s">
        <v>31</v>
      </c>
      <c r="C2" t="s">
        <v>32</v>
      </c>
      <c r="D2" t="s">
        <v>33</v>
      </c>
      <c r="E2">
        <v>16</v>
      </c>
      <c r="F2" s="7">
        <v>450</v>
      </c>
      <c r="G2" s="6">
        <v>45672</v>
      </c>
      <c r="J2" s="1" t="s">
        <v>25</v>
      </c>
      <c r="K2" s="1" t="s">
        <v>80</v>
      </c>
      <c r="L2" s="1" t="s">
        <v>81</v>
      </c>
      <c r="M2" s="1" t="s">
        <v>82</v>
      </c>
      <c r="P2" t="s">
        <v>84</v>
      </c>
      <c r="Q2" t="s">
        <v>31</v>
      </c>
    </row>
    <row r="3" spans="1:17" x14ac:dyDescent="0.35">
      <c r="A3" t="s">
        <v>34</v>
      </c>
      <c r="B3" t="s">
        <v>35</v>
      </c>
      <c r="C3" t="s">
        <v>36</v>
      </c>
      <c r="D3" t="s">
        <v>37</v>
      </c>
      <c r="E3">
        <v>24</v>
      </c>
      <c r="F3" s="7">
        <v>680</v>
      </c>
      <c r="G3" s="6">
        <v>45698</v>
      </c>
      <c r="J3" t="s">
        <v>32</v>
      </c>
      <c r="K3">
        <f>SUMIFS(E2:E16,C2:C16,J3)</f>
        <v>64</v>
      </c>
      <c r="L3" s="7">
        <f>SUMIFS(F2:F16,C2:C16,J3)</f>
        <v>1790</v>
      </c>
      <c r="M3">
        <f>COUNTIF(C2:C16,J3)</f>
        <v>4</v>
      </c>
      <c r="P3" t="s">
        <v>85</v>
      </c>
      <c r="Q3" t="str">
        <f>VLOOKUP(Q2,B2:D16,3,FALSE)</f>
        <v>Digital Marketing Essentials</v>
      </c>
    </row>
    <row r="4" spans="1:17" x14ac:dyDescent="0.35">
      <c r="A4" t="s">
        <v>38</v>
      </c>
      <c r="B4" t="s">
        <v>39</v>
      </c>
      <c r="C4" t="s">
        <v>40</v>
      </c>
      <c r="D4" t="s">
        <v>41</v>
      </c>
      <c r="E4">
        <v>12</v>
      </c>
      <c r="F4" s="7">
        <v>350</v>
      </c>
      <c r="G4" s="6">
        <v>45679</v>
      </c>
      <c r="P4" t="s">
        <v>86</v>
      </c>
      <c r="Q4" t="str">
        <f>VLOOKUP(Q2,B2:D16,2,FALSE)</f>
        <v>Marketing</v>
      </c>
    </row>
    <row r="5" spans="1:17" x14ac:dyDescent="0.35">
      <c r="A5" t="s">
        <v>42</v>
      </c>
      <c r="B5" t="s">
        <v>43</v>
      </c>
      <c r="C5" t="s">
        <v>44</v>
      </c>
      <c r="D5" t="s">
        <v>45</v>
      </c>
      <c r="E5">
        <v>20</v>
      </c>
      <c r="F5" s="7">
        <v>520</v>
      </c>
      <c r="G5" s="6">
        <v>45721</v>
      </c>
    </row>
    <row r="6" spans="1:17" x14ac:dyDescent="0.35">
      <c r="A6" t="s">
        <v>46</v>
      </c>
      <c r="B6" t="s">
        <v>47</v>
      </c>
      <c r="C6" t="s">
        <v>32</v>
      </c>
      <c r="D6" t="s">
        <v>48</v>
      </c>
      <c r="E6">
        <v>14</v>
      </c>
      <c r="F6" s="7">
        <v>400</v>
      </c>
      <c r="G6" s="6">
        <v>45706</v>
      </c>
    </row>
    <row r="7" spans="1:17" x14ac:dyDescent="0.35">
      <c r="A7" t="s">
        <v>49</v>
      </c>
      <c r="B7" t="s">
        <v>50</v>
      </c>
      <c r="C7" t="s">
        <v>36</v>
      </c>
      <c r="D7" t="s">
        <v>51</v>
      </c>
      <c r="E7">
        <v>30</v>
      </c>
      <c r="F7" s="7">
        <v>850</v>
      </c>
      <c r="G7" s="6">
        <v>45728</v>
      </c>
    </row>
    <row r="8" spans="1:17" x14ac:dyDescent="0.35">
      <c r="A8" t="s">
        <v>52</v>
      </c>
      <c r="B8" t="s">
        <v>53</v>
      </c>
      <c r="C8" t="s">
        <v>40</v>
      </c>
      <c r="D8" t="s">
        <v>54</v>
      </c>
      <c r="E8">
        <v>10</v>
      </c>
      <c r="F8" s="7">
        <v>280</v>
      </c>
      <c r="G8" s="6">
        <v>45687</v>
      </c>
    </row>
    <row r="9" spans="1:17" x14ac:dyDescent="0.35">
      <c r="A9" t="s">
        <v>55</v>
      </c>
      <c r="B9" t="s">
        <v>56</v>
      </c>
      <c r="C9" t="s">
        <v>44</v>
      </c>
      <c r="D9" t="s">
        <v>57</v>
      </c>
      <c r="E9">
        <v>22</v>
      </c>
      <c r="F9" s="7">
        <v>600</v>
      </c>
      <c r="G9" s="6">
        <v>45713</v>
      </c>
    </row>
    <row r="10" spans="1:17" x14ac:dyDescent="0.35">
      <c r="A10" t="s">
        <v>58</v>
      </c>
      <c r="B10" t="s">
        <v>59</v>
      </c>
      <c r="C10" t="s">
        <v>32</v>
      </c>
      <c r="D10" t="s">
        <v>60</v>
      </c>
      <c r="E10">
        <v>18</v>
      </c>
      <c r="F10" s="7">
        <v>480</v>
      </c>
      <c r="G10" s="6">
        <v>45736</v>
      </c>
    </row>
    <row r="11" spans="1:17" x14ac:dyDescent="0.35">
      <c r="A11" t="s">
        <v>61</v>
      </c>
      <c r="B11" t="s">
        <v>62</v>
      </c>
      <c r="C11" t="s">
        <v>36</v>
      </c>
      <c r="D11" t="s">
        <v>63</v>
      </c>
      <c r="E11">
        <v>28</v>
      </c>
      <c r="F11" s="7">
        <v>750</v>
      </c>
      <c r="G11" s="6">
        <v>45665</v>
      </c>
    </row>
    <row r="12" spans="1:17" x14ac:dyDescent="0.35">
      <c r="A12" t="s">
        <v>64</v>
      </c>
      <c r="B12" t="s">
        <v>65</v>
      </c>
      <c r="C12" t="s">
        <v>40</v>
      </c>
      <c r="D12" t="s">
        <v>66</v>
      </c>
      <c r="E12">
        <v>15</v>
      </c>
      <c r="F12" s="7">
        <v>420</v>
      </c>
      <c r="G12" s="6">
        <v>45731</v>
      </c>
    </row>
    <row r="13" spans="1:17" x14ac:dyDescent="0.35">
      <c r="A13" t="s">
        <v>67</v>
      </c>
      <c r="B13" t="s">
        <v>68</v>
      </c>
      <c r="C13" t="s">
        <v>44</v>
      </c>
      <c r="D13" t="s">
        <v>69</v>
      </c>
      <c r="E13">
        <v>20</v>
      </c>
      <c r="F13" s="7">
        <v>550</v>
      </c>
      <c r="G13" s="6">
        <v>45693</v>
      </c>
    </row>
    <row r="14" spans="1:17" x14ac:dyDescent="0.35">
      <c r="A14" t="s">
        <v>70</v>
      </c>
      <c r="B14" t="s">
        <v>71</v>
      </c>
      <c r="C14" t="s">
        <v>32</v>
      </c>
      <c r="D14" t="s">
        <v>72</v>
      </c>
      <c r="E14">
        <v>16</v>
      </c>
      <c r="F14" s="7">
        <v>460</v>
      </c>
      <c r="G14" s="6">
        <v>45741</v>
      </c>
    </row>
    <row r="15" spans="1:17" x14ac:dyDescent="0.35">
      <c r="A15" t="s">
        <v>73</v>
      </c>
      <c r="B15" t="s">
        <v>74</v>
      </c>
      <c r="C15" t="s">
        <v>36</v>
      </c>
      <c r="D15" t="s">
        <v>75</v>
      </c>
      <c r="E15">
        <v>26</v>
      </c>
      <c r="F15" s="7">
        <v>720</v>
      </c>
      <c r="G15" s="6">
        <v>45677</v>
      </c>
    </row>
    <row r="16" spans="1:17" x14ac:dyDescent="0.35">
      <c r="A16" t="s">
        <v>76</v>
      </c>
      <c r="B16" t="s">
        <v>77</v>
      </c>
      <c r="C16" t="s">
        <v>40</v>
      </c>
      <c r="D16" t="s">
        <v>78</v>
      </c>
      <c r="E16">
        <v>12</v>
      </c>
      <c r="F16" s="7">
        <v>340</v>
      </c>
      <c r="G16" s="6">
        <v>45716</v>
      </c>
    </row>
  </sheetData>
  <dataValidations count="1">
    <dataValidation type="list" allowBlank="1" showInputMessage="1" showErrorMessage="1" sqref="J3" xr:uid="{60DE82DB-5A9E-42EE-98C2-7853871BACBE}">
      <formula1>"Marketing,IT,HR,Finance"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3EC82-B141-45AD-9CEC-554F344EB6FA}">
  <sheetPr codeName="Sheet3"/>
  <dimension ref="A3:E8"/>
  <sheetViews>
    <sheetView workbookViewId="0"/>
  </sheetViews>
  <sheetFormatPr defaultRowHeight="14.5" x14ac:dyDescent="0.35"/>
  <cols>
    <col min="1" max="1" width="12.453125" bestFit="1" customWidth="1"/>
    <col min="2" max="2" width="15.6328125" bestFit="1" customWidth="1"/>
    <col min="3" max="4" width="7.36328125" bestFit="1" customWidth="1"/>
    <col min="5" max="5" width="10.36328125" bestFit="1" customWidth="1"/>
  </cols>
  <sheetData>
    <row r="3" spans="1:5" x14ac:dyDescent="0.35">
      <c r="A3" s="4" t="s">
        <v>22</v>
      </c>
      <c r="B3" s="4" t="s">
        <v>21</v>
      </c>
    </row>
    <row r="4" spans="1:5" x14ac:dyDescent="0.35">
      <c r="A4" s="4" t="s">
        <v>19</v>
      </c>
      <c r="B4" t="s">
        <v>9</v>
      </c>
      <c r="C4" t="s">
        <v>7</v>
      </c>
      <c r="D4" t="s">
        <v>8</v>
      </c>
      <c r="E4" t="s">
        <v>20</v>
      </c>
    </row>
    <row r="5" spans="1:5" x14ac:dyDescent="0.35">
      <c r="A5" s="5" t="s">
        <v>6</v>
      </c>
      <c r="B5" s="3">
        <v>282000</v>
      </c>
      <c r="C5" s="3">
        <v>300000</v>
      </c>
      <c r="D5" s="3">
        <v>253000</v>
      </c>
      <c r="E5" s="3">
        <v>835000</v>
      </c>
    </row>
    <row r="6" spans="1:5" x14ac:dyDescent="0.35">
      <c r="A6" s="5" t="s">
        <v>10</v>
      </c>
      <c r="B6" s="3">
        <v>211000</v>
      </c>
      <c r="C6" s="3">
        <v>228000</v>
      </c>
      <c r="D6" s="3">
        <v>199000</v>
      </c>
      <c r="E6" s="3">
        <v>638000</v>
      </c>
    </row>
    <row r="7" spans="1:5" x14ac:dyDescent="0.35">
      <c r="A7" s="5" t="s">
        <v>11</v>
      </c>
      <c r="B7" s="3">
        <v>319000</v>
      </c>
      <c r="C7" s="3">
        <v>336000</v>
      </c>
      <c r="D7" s="3">
        <v>307000</v>
      </c>
      <c r="E7" s="3">
        <v>962000</v>
      </c>
    </row>
    <row r="8" spans="1:5" x14ac:dyDescent="0.35">
      <c r="A8" s="5" t="s">
        <v>20</v>
      </c>
      <c r="B8" s="3">
        <v>812000</v>
      </c>
      <c r="C8" s="3">
        <v>864000</v>
      </c>
      <c r="D8" s="3">
        <v>759000</v>
      </c>
      <c r="E8" s="3">
        <v>2435000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85EA4-AD72-4D4A-AA61-8AA384E6788E}">
  <sheetPr codeName="Sheet4" filterMode="1"/>
  <dimension ref="A1:J55"/>
  <sheetViews>
    <sheetView workbookViewId="0"/>
  </sheetViews>
  <sheetFormatPr defaultRowHeight="14.5" x14ac:dyDescent="0.35"/>
  <cols>
    <col min="1" max="1" width="8.36328125" bestFit="1" customWidth="1"/>
    <col min="2" max="2" width="9.6328125" bestFit="1" customWidth="1"/>
    <col min="3" max="3" width="8.81640625" bestFit="1" customWidth="1"/>
    <col min="4" max="4" width="7.6328125" bestFit="1" customWidth="1"/>
    <col min="5" max="5" width="11" bestFit="1" customWidth="1"/>
    <col min="8" max="8" width="7.1796875" bestFit="1" customWidth="1"/>
    <col min="9" max="9" width="8.1796875" bestFit="1" customWidth="1"/>
    <col min="10" max="10" width="11.453125" bestFit="1" customWidth="1"/>
  </cols>
  <sheetData>
    <row r="1" spans="1:10" x14ac:dyDescent="0.35">
      <c r="A1" s="2" t="s">
        <v>0</v>
      </c>
      <c r="B1" s="2" t="s">
        <v>1</v>
      </c>
      <c r="C1" s="2" t="s">
        <v>2</v>
      </c>
      <c r="D1" s="2" t="s">
        <v>3</v>
      </c>
      <c r="E1" s="2" t="s">
        <v>4</v>
      </c>
      <c r="H1" t="s">
        <v>1</v>
      </c>
      <c r="I1" t="s">
        <v>17</v>
      </c>
      <c r="J1" t="s">
        <v>18</v>
      </c>
    </row>
    <row r="2" spans="1:10" x14ac:dyDescent="0.35">
      <c r="A2" t="s">
        <v>5</v>
      </c>
      <c r="B2" t="s">
        <v>6</v>
      </c>
      <c r="C2" t="s">
        <v>7</v>
      </c>
      <c r="D2" s="3">
        <v>45000</v>
      </c>
      <c r="E2" s="3">
        <v>28000</v>
      </c>
      <c r="H2" t="s">
        <v>6</v>
      </c>
      <c r="I2">
        <f>SUMIFS(D2:D55,B2:B55,"Alpha",A2:A55,"Jan")</f>
        <v>125000</v>
      </c>
      <c r="J2">
        <f>SUMIFS(E2:E55,B2:B55,"Alpha",A2:A55,"Jan")</f>
        <v>78000</v>
      </c>
    </row>
    <row r="3" spans="1:10" hidden="1" x14ac:dyDescent="0.35">
      <c r="A3" t="s">
        <v>5</v>
      </c>
      <c r="B3" t="s">
        <v>6</v>
      </c>
      <c r="C3" t="s">
        <v>8</v>
      </c>
      <c r="D3" s="3">
        <v>38000</v>
      </c>
      <c r="E3" s="3">
        <v>24000</v>
      </c>
      <c r="H3" t="s">
        <v>10</v>
      </c>
      <c r="I3">
        <f>SUMIFS(D2:D55,B2:B55,"Beta",A2:A55,"Jan")</f>
        <v>93000</v>
      </c>
      <c r="J3">
        <f>SUMIFS(E2:E55,B2:B55,"Beta",A2:A55,"Jan")</f>
        <v>57000</v>
      </c>
    </row>
    <row r="4" spans="1:10" hidden="1" x14ac:dyDescent="0.35">
      <c r="A4" t="s">
        <v>5</v>
      </c>
      <c r="B4" t="s">
        <v>6</v>
      </c>
      <c r="C4" t="s">
        <v>9</v>
      </c>
      <c r="D4" s="3">
        <v>42000</v>
      </c>
      <c r="E4" s="3">
        <v>26000</v>
      </c>
      <c r="H4" t="s">
        <v>11</v>
      </c>
      <c r="I4">
        <f>SUMIFS(D2:D55,B2:B55,"Gamma",A2:A55,"Jan")</f>
        <v>147000</v>
      </c>
      <c r="J4">
        <f>SUMIFS(E2:E55,B2:B55,"Gamma",A2:A55,"Jan")</f>
        <v>93000</v>
      </c>
    </row>
    <row r="5" spans="1:10" hidden="1" x14ac:dyDescent="0.35">
      <c r="A5" t="s">
        <v>5</v>
      </c>
      <c r="B5" t="s">
        <v>10</v>
      </c>
      <c r="C5" t="s">
        <v>7</v>
      </c>
      <c r="D5" s="3">
        <v>33000</v>
      </c>
      <c r="E5" s="3">
        <v>20000</v>
      </c>
    </row>
    <row r="6" spans="1:10" hidden="1" x14ac:dyDescent="0.35">
      <c r="A6" t="s">
        <v>5</v>
      </c>
      <c r="B6" t="s">
        <v>10</v>
      </c>
      <c r="C6" t="s">
        <v>8</v>
      </c>
      <c r="D6" s="3">
        <v>29000</v>
      </c>
      <c r="E6" s="3">
        <v>18000</v>
      </c>
    </row>
    <row r="7" spans="1:10" hidden="1" x14ac:dyDescent="0.35">
      <c r="A7" t="s">
        <v>5</v>
      </c>
      <c r="B7" t="s">
        <v>10</v>
      </c>
      <c r="C7" t="s">
        <v>9</v>
      </c>
      <c r="D7" s="3">
        <v>31000</v>
      </c>
      <c r="E7" s="3">
        <v>19000</v>
      </c>
    </row>
    <row r="8" spans="1:10" hidden="1" x14ac:dyDescent="0.35">
      <c r="A8" t="s">
        <v>5</v>
      </c>
      <c r="B8" t="s">
        <v>11</v>
      </c>
      <c r="C8" t="s">
        <v>7</v>
      </c>
      <c r="D8" s="3">
        <v>51000</v>
      </c>
      <c r="E8" s="3">
        <v>32000</v>
      </c>
    </row>
    <row r="9" spans="1:10" hidden="1" x14ac:dyDescent="0.35">
      <c r="A9" t="s">
        <v>5</v>
      </c>
      <c r="B9" t="s">
        <v>11</v>
      </c>
      <c r="C9" t="s">
        <v>8</v>
      </c>
      <c r="D9" s="3">
        <v>47000</v>
      </c>
      <c r="E9" s="3">
        <v>30000</v>
      </c>
    </row>
    <row r="10" spans="1:10" hidden="1" x14ac:dyDescent="0.35">
      <c r="A10" t="s">
        <v>5</v>
      </c>
      <c r="B10" t="s">
        <v>11</v>
      </c>
      <c r="C10" t="s">
        <v>9</v>
      </c>
      <c r="D10" s="3">
        <v>49000</v>
      </c>
      <c r="E10" s="3">
        <v>31000</v>
      </c>
    </row>
    <row r="11" spans="1:10" x14ac:dyDescent="0.35">
      <c r="A11" t="s">
        <v>12</v>
      </c>
      <c r="B11" t="s">
        <v>6</v>
      </c>
      <c r="C11" t="s">
        <v>7</v>
      </c>
      <c r="D11" s="3">
        <v>47000</v>
      </c>
      <c r="E11" s="3">
        <v>29000</v>
      </c>
    </row>
    <row r="12" spans="1:10" hidden="1" x14ac:dyDescent="0.35">
      <c r="A12" t="s">
        <v>12</v>
      </c>
      <c r="B12" t="s">
        <v>6</v>
      </c>
      <c r="C12" t="s">
        <v>8</v>
      </c>
      <c r="D12" s="3">
        <v>39000</v>
      </c>
      <c r="E12" s="3">
        <v>25000</v>
      </c>
    </row>
    <row r="13" spans="1:10" hidden="1" x14ac:dyDescent="0.35">
      <c r="A13" t="s">
        <v>12</v>
      </c>
      <c r="B13" t="s">
        <v>6</v>
      </c>
      <c r="C13" t="s">
        <v>9</v>
      </c>
      <c r="D13" s="3">
        <v>44000</v>
      </c>
      <c r="E13" s="3">
        <v>27000</v>
      </c>
    </row>
    <row r="14" spans="1:10" hidden="1" x14ac:dyDescent="0.35">
      <c r="A14" t="s">
        <v>12</v>
      </c>
      <c r="B14" t="s">
        <v>10</v>
      </c>
      <c r="C14" t="s">
        <v>7</v>
      </c>
      <c r="D14" s="3">
        <v>35000</v>
      </c>
      <c r="E14" s="3">
        <v>21000</v>
      </c>
    </row>
    <row r="15" spans="1:10" hidden="1" x14ac:dyDescent="0.35">
      <c r="A15" t="s">
        <v>12</v>
      </c>
      <c r="B15" t="s">
        <v>10</v>
      </c>
      <c r="C15" t="s">
        <v>8</v>
      </c>
      <c r="D15" s="3">
        <v>30000</v>
      </c>
      <c r="E15" s="3">
        <v>19000</v>
      </c>
    </row>
    <row r="16" spans="1:10" hidden="1" x14ac:dyDescent="0.35">
      <c r="A16" t="s">
        <v>12</v>
      </c>
      <c r="B16" t="s">
        <v>10</v>
      </c>
      <c r="C16" t="s">
        <v>9</v>
      </c>
      <c r="D16" s="3">
        <v>32000</v>
      </c>
      <c r="E16" s="3">
        <v>20000</v>
      </c>
    </row>
    <row r="17" spans="1:5" hidden="1" x14ac:dyDescent="0.35">
      <c r="A17" t="s">
        <v>12</v>
      </c>
      <c r="B17" t="s">
        <v>11</v>
      </c>
      <c r="C17" t="s">
        <v>7</v>
      </c>
      <c r="D17" s="3">
        <v>53000</v>
      </c>
      <c r="E17" s="3">
        <v>33000</v>
      </c>
    </row>
    <row r="18" spans="1:5" hidden="1" x14ac:dyDescent="0.35">
      <c r="A18" t="s">
        <v>12</v>
      </c>
      <c r="B18" t="s">
        <v>11</v>
      </c>
      <c r="C18" t="s">
        <v>8</v>
      </c>
      <c r="D18" s="3">
        <v>48000</v>
      </c>
      <c r="E18" s="3">
        <v>31000</v>
      </c>
    </row>
    <row r="19" spans="1:5" hidden="1" x14ac:dyDescent="0.35">
      <c r="A19" t="s">
        <v>12</v>
      </c>
      <c r="B19" t="s">
        <v>11</v>
      </c>
      <c r="C19" t="s">
        <v>9</v>
      </c>
      <c r="D19" s="3">
        <v>50000</v>
      </c>
      <c r="E19" s="3">
        <v>32000</v>
      </c>
    </row>
    <row r="20" spans="1:5" x14ac:dyDescent="0.35">
      <c r="A20" t="s">
        <v>13</v>
      </c>
      <c r="B20" t="s">
        <v>6</v>
      </c>
      <c r="C20" t="s">
        <v>7</v>
      </c>
      <c r="D20" s="3">
        <v>49000</v>
      </c>
      <c r="E20" s="3">
        <v>30000</v>
      </c>
    </row>
    <row r="21" spans="1:5" hidden="1" x14ac:dyDescent="0.35">
      <c r="A21" t="s">
        <v>13</v>
      </c>
      <c r="B21" t="s">
        <v>6</v>
      </c>
      <c r="C21" t="s">
        <v>8</v>
      </c>
      <c r="D21" s="3">
        <v>41000</v>
      </c>
      <c r="E21" s="3">
        <v>26000</v>
      </c>
    </row>
    <row r="22" spans="1:5" hidden="1" x14ac:dyDescent="0.35">
      <c r="A22" t="s">
        <v>13</v>
      </c>
      <c r="B22" t="s">
        <v>6</v>
      </c>
      <c r="C22" t="s">
        <v>9</v>
      </c>
      <c r="D22" s="3">
        <v>46000</v>
      </c>
      <c r="E22" s="3">
        <v>28000</v>
      </c>
    </row>
    <row r="23" spans="1:5" hidden="1" x14ac:dyDescent="0.35">
      <c r="A23" t="s">
        <v>13</v>
      </c>
      <c r="B23" t="s">
        <v>10</v>
      </c>
      <c r="C23" t="s">
        <v>7</v>
      </c>
      <c r="D23" s="3">
        <v>37000</v>
      </c>
      <c r="E23" s="3">
        <v>22000</v>
      </c>
    </row>
    <row r="24" spans="1:5" hidden="1" x14ac:dyDescent="0.35">
      <c r="A24" t="s">
        <v>13</v>
      </c>
      <c r="B24" t="s">
        <v>10</v>
      </c>
      <c r="C24" t="s">
        <v>8</v>
      </c>
      <c r="D24" s="3">
        <v>32000</v>
      </c>
      <c r="E24" s="3">
        <v>20000</v>
      </c>
    </row>
    <row r="25" spans="1:5" hidden="1" x14ac:dyDescent="0.35">
      <c r="A25" t="s">
        <v>13</v>
      </c>
      <c r="B25" t="s">
        <v>10</v>
      </c>
      <c r="C25" t="s">
        <v>9</v>
      </c>
      <c r="D25" s="3">
        <v>34000</v>
      </c>
      <c r="E25" s="3">
        <v>21000</v>
      </c>
    </row>
    <row r="26" spans="1:5" hidden="1" x14ac:dyDescent="0.35">
      <c r="A26" t="s">
        <v>13</v>
      </c>
      <c r="B26" t="s">
        <v>11</v>
      </c>
      <c r="C26" t="s">
        <v>7</v>
      </c>
      <c r="D26" s="3">
        <v>55000</v>
      </c>
      <c r="E26" s="3">
        <v>34000</v>
      </c>
    </row>
    <row r="27" spans="1:5" hidden="1" x14ac:dyDescent="0.35">
      <c r="A27" t="s">
        <v>13</v>
      </c>
      <c r="B27" t="s">
        <v>11</v>
      </c>
      <c r="C27" t="s">
        <v>8</v>
      </c>
      <c r="D27" s="3">
        <v>50000</v>
      </c>
      <c r="E27" s="3">
        <v>32000</v>
      </c>
    </row>
    <row r="28" spans="1:5" hidden="1" x14ac:dyDescent="0.35">
      <c r="A28" t="s">
        <v>13</v>
      </c>
      <c r="B28" t="s">
        <v>11</v>
      </c>
      <c r="C28" t="s">
        <v>9</v>
      </c>
      <c r="D28" s="3">
        <v>52000</v>
      </c>
      <c r="E28" s="3">
        <v>33000</v>
      </c>
    </row>
    <row r="29" spans="1:5" hidden="1" x14ac:dyDescent="0.35">
      <c r="A29" t="s">
        <v>14</v>
      </c>
      <c r="B29" t="s">
        <v>6</v>
      </c>
      <c r="C29" t="s">
        <v>7</v>
      </c>
      <c r="D29" s="3">
        <v>51000</v>
      </c>
      <c r="E29" s="3">
        <v>31000</v>
      </c>
    </row>
    <row r="30" spans="1:5" hidden="1" x14ac:dyDescent="0.35">
      <c r="A30" t="s">
        <v>14</v>
      </c>
      <c r="B30" t="s">
        <v>6</v>
      </c>
      <c r="C30" t="s">
        <v>8</v>
      </c>
      <c r="D30" s="3">
        <v>43000</v>
      </c>
      <c r="E30" s="3">
        <v>27000</v>
      </c>
    </row>
    <row r="31" spans="1:5" hidden="1" x14ac:dyDescent="0.35">
      <c r="A31" t="s">
        <v>14</v>
      </c>
      <c r="B31" t="s">
        <v>6</v>
      </c>
      <c r="C31" t="s">
        <v>9</v>
      </c>
      <c r="D31" s="3">
        <v>48000</v>
      </c>
      <c r="E31" s="3">
        <v>29000</v>
      </c>
    </row>
    <row r="32" spans="1:5" hidden="1" x14ac:dyDescent="0.35">
      <c r="A32" t="s">
        <v>14</v>
      </c>
      <c r="B32" t="s">
        <v>10</v>
      </c>
      <c r="C32" t="s">
        <v>7</v>
      </c>
      <c r="D32" s="3">
        <v>39000</v>
      </c>
      <c r="E32" s="3">
        <v>23000</v>
      </c>
    </row>
    <row r="33" spans="1:5" hidden="1" x14ac:dyDescent="0.35">
      <c r="A33" t="s">
        <v>14</v>
      </c>
      <c r="B33" t="s">
        <v>10</v>
      </c>
      <c r="C33" t="s">
        <v>8</v>
      </c>
      <c r="D33" s="3">
        <v>34000</v>
      </c>
      <c r="E33" s="3">
        <v>21000</v>
      </c>
    </row>
    <row r="34" spans="1:5" hidden="1" x14ac:dyDescent="0.35">
      <c r="A34" t="s">
        <v>14</v>
      </c>
      <c r="B34" t="s">
        <v>10</v>
      </c>
      <c r="C34" t="s">
        <v>9</v>
      </c>
      <c r="D34" s="3">
        <v>36000</v>
      </c>
      <c r="E34" s="3">
        <v>22000</v>
      </c>
    </row>
    <row r="35" spans="1:5" hidden="1" x14ac:dyDescent="0.35">
      <c r="A35" t="s">
        <v>14</v>
      </c>
      <c r="B35" t="s">
        <v>11</v>
      </c>
      <c r="C35" t="s">
        <v>7</v>
      </c>
      <c r="D35" s="3">
        <v>57000</v>
      </c>
      <c r="E35" s="3">
        <v>35000</v>
      </c>
    </row>
    <row r="36" spans="1:5" hidden="1" x14ac:dyDescent="0.35">
      <c r="A36" t="s">
        <v>14</v>
      </c>
      <c r="B36" t="s">
        <v>11</v>
      </c>
      <c r="C36" t="s">
        <v>8</v>
      </c>
      <c r="D36" s="3">
        <v>52000</v>
      </c>
      <c r="E36" s="3">
        <v>33000</v>
      </c>
    </row>
    <row r="37" spans="1:5" hidden="1" x14ac:dyDescent="0.35">
      <c r="A37" t="s">
        <v>14</v>
      </c>
      <c r="B37" t="s">
        <v>11</v>
      </c>
      <c r="C37" t="s">
        <v>9</v>
      </c>
      <c r="D37" s="3">
        <v>54000</v>
      </c>
      <c r="E37" s="3">
        <v>34000</v>
      </c>
    </row>
    <row r="38" spans="1:5" hidden="1" x14ac:dyDescent="0.35">
      <c r="A38" t="s">
        <v>15</v>
      </c>
      <c r="B38" t="s">
        <v>6</v>
      </c>
      <c r="C38" t="s">
        <v>7</v>
      </c>
      <c r="D38" s="3">
        <v>53000</v>
      </c>
      <c r="E38" s="3">
        <v>32000</v>
      </c>
    </row>
    <row r="39" spans="1:5" hidden="1" x14ac:dyDescent="0.35">
      <c r="A39" t="s">
        <v>15</v>
      </c>
      <c r="B39" t="s">
        <v>6</v>
      </c>
      <c r="C39" t="s">
        <v>8</v>
      </c>
      <c r="D39" s="3">
        <v>45000</v>
      </c>
      <c r="E39" s="3">
        <v>28000</v>
      </c>
    </row>
    <row r="40" spans="1:5" hidden="1" x14ac:dyDescent="0.35">
      <c r="A40" t="s">
        <v>15</v>
      </c>
      <c r="B40" t="s">
        <v>6</v>
      </c>
      <c r="C40" t="s">
        <v>9</v>
      </c>
      <c r="D40" s="3">
        <v>50000</v>
      </c>
      <c r="E40" s="3">
        <v>30000</v>
      </c>
    </row>
    <row r="41" spans="1:5" hidden="1" x14ac:dyDescent="0.35">
      <c r="A41" t="s">
        <v>15</v>
      </c>
      <c r="B41" t="s">
        <v>10</v>
      </c>
      <c r="C41" t="s">
        <v>7</v>
      </c>
      <c r="D41" s="3">
        <v>41000</v>
      </c>
      <c r="E41" s="3">
        <v>24000</v>
      </c>
    </row>
    <row r="42" spans="1:5" hidden="1" x14ac:dyDescent="0.35">
      <c r="A42" t="s">
        <v>15</v>
      </c>
      <c r="B42" t="s">
        <v>10</v>
      </c>
      <c r="C42" t="s">
        <v>8</v>
      </c>
      <c r="D42" s="3">
        <v>36000</v>
      </c>
      <c r="E42" s="3">
        <v>22000</v>
      </c>
    </row>
    <row r="43" spans="1:5" hidden="1" x14ac:dyDescent="0.35">
      <c r="A43" t="s">
        <v>15</v>
      </c>
      <c r="B43" t="s">
        <v>10</v>
      </c>
      <c r="C43" t="s">
        <v>9</v>
      </c>
      <c r="D43" s="3">
        <v>38000</v>
      </c>
      <c r="E43" s="3">
        <v>23000</v>
      </c>
    </row>
    <row r="44" spans="1:5" hidden="1" x14ac:dyDescent="0.35">
      <c r="A44" t="s">
        <v>15</v>
      </c>
      <c r="B44" t="s">
        <v>11</v>
      </c>
      <c r="C44" t="s">
        <v>7</v>
      </c>
      <c r="D44" s="3">
        <v>59000</v>
      </c>
      <c r="E44" s="3">
        <v>36000</v>
      </c>
    </row>
    <row r="45" spans="1:5" hidden="1" x14ac:dyDescent="0.35">
      <c r="A45" t="s">
        <v>15</v>
      </c>
      <c r="B45" t="s">
        <v>11</v>
      </c>
      <c r="C45" t="s">
        <v>8</v>
      </c>
      <c r="D45" s="3">
        <v>54000</v>
      </c>
      <c r="E45" s="3">
        <v>34000</v>
      </c>
    </row>
    <row r="46" spans="1:5" hidden="1" x14ac:dyDescent="0.35">
      <c r="A46" t="s">
        <v>15</v>
      </c>
      <c r="B46" t="s">
        <v>11</v>
      </c>
      <c r="C46" t="s">
        <v>9</v>
      </c>
      <c r="D46" s="3">
        <v>56000</v>
      </c>
      <c r="E46" s="3">
        <v>35000</v>
      </c>
    </row>
    <row r="47" spans="1:5" hidden="1" x14ac:dyDescent="0.35">
      <c r="A47" t="s">
        <v>16</v>
      </c>
      <c r="B47" t="s">
        <v>6</v>
      </c>
      <c r="C47" t="s">
        <v>7</v>
      </c>
      <c r="D47" s="3">
        <v>55000</v>
      </c>
      <c r="E47" s="3">
        <v>33000</v>
      </c>
    </row>
    <row r="48" spans="1:5" hidden="1" x14ac:dyDescent="0.35">
      <c r="A48" t="s">
        <v>16</v>
      </c>
      <c r="B48" t="s">
        <v>6</v>
      </c>
      <c r="C48" t="s">
        <v>8</v>
      </c>
      <c r="D48" s="3">
        <v>47000</v>
      </c>
      <c r="E48" s="3">
        <v>29000</v>
      </c>
    </row>
    <row r="49" spans="1:5" hidden="1" x14ac:dyDescent="0.35">
      <c r="A49" t="s">
        <v>16</v>
      </c>
      <c r="B49" t="s">
        <v>6</v>
      </c>
      <c r="C49" t="s">
        <v>9</v>
      </c>
      <c r="D49" s="3">
        <v>52000</v>
      </c>
      <c r="E49" s="3">
        <v>31000</v>
      </c>
    </row>
    <row r="50" spans="1:5" hidden="1" x14ac:dyDescent="0.35">
      <c r="A50" t="s">
        <v>16</v>
      </c>
      <c r="B50" t="s">
        <v>10</v>
      </c>
      <c r="C50" t="s">
        <v>7</v>
      </c>
      <c r="D50" s="3">
        <v>43000</v>
      </c>
      <c r="E50" s="3">
        <v>25000</v>
      </c>
    </row>
    <row r="51" spans="1:5" hidden="1" x14ac:dyDescent="0.35">
      <c r="A51" t="s">
        <v>16</v>
      </c>
      <c r="B51" t="s">
        <v>10</v>
      </c>
      <c r="C51" t="s">
        <v>8</v>
      </c>
      <c r="D51" s="3">
        <v>38000</v>
      </c>
      <c r="E51" s="3">
        <v>23000</v>
      </c>
    </row>
    <row r="52" spans="1:5" hidden="1" x14ac:dyDescent="0.35">
      <c r="A52" t="s">
        <v>16</v>
      </c>
      <c r="B52" t="s">
        <v>10</v>
      </c>
      <c r="C52" t="s">
        <v>9</v>
      </c>
      <c r="D52" s="3">
        <v>40000</v>
      </c>
      <c r="E52" s="3">
        <v>24000</v>
      </c>
    </row>
    <row r="53" spans="1:5" hidden="1" x14ac:dyDescent="0.35">
      <c r="A53" t="s">
        <v>16</v>
      </c>
      <c r="B53" t="s">
        <v>11</v>
      </c>
      <c r="C53" t="s">
        <v>7</v>
      </c>
      <c r="D53" s="3">
        <v>61000</v>
      </c>
      <c r="E53" s="3">
        <v>37000</v>
      </c>
    </row>
    <row r="54" spans="1:5" hidden="1" x14ac:dyDescent="0.35">
      <c r="A54" t="s">
        <v>16</v>
      </c>
      <c r="B54" t="s">
        <v>11</v>
      </c>
      <c r="C54" t="s">
        <v>8</v>
      </c>
      <c r="D54" s="3">
        <v>56000</v>
      </c>
      <c r="E54" s="3">
        <v>35000</v>
      </c>
    </row>
    <row r="55" spans="1:5" hidden="1" x14ac:dyDescent="0.35">
      <c r="A55" t="s">
        <v>16</v>
      </c>
      <c r="B55" t="s">
        <v>11</v>
      </c>
      <c r="C55" t="s">
        <v>9</v>
      </c>
      <c r="D55" s="3">
        <v>58000</v>
      </c>
      <c r="E55" s="3">
        <v>36000</v>
      </c>
    </row>
  </sheetData>
  <autoFilter ref="A1:E55" xr:uid="{14A85EA4-AD72-4D4A-AA61-8AA384E6788E}">
    <filterColumn colId="0">
      <filters>
        <filter val="Feb"/>
        <filter val="Jan"/>
        <filter val="Mar"/>
      </filters>
    </filterColumn>
    <filterColumn colId="1">
      <filters>
        <filter val="Alpha"/>
      </filters>
    </filterColumn>
    <filterColumn colId="2">
      <filters>
        <filter val="North"/>
      </filters>
    </filterColumn>
  </autoFilter>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StoreData</vt:lpstr>
      <vt:lpstr>Employee_Training</vt:lpstr>
      <vt:lpstr>PivotAnalysis</vt:lpstr>
      <vt:lpstr>Sales_Expenses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Schultz</dc:creator>
  <cp:lastModifiedBy>Kareem Schultz</cp:lastModifiedBy>
  <dcterms:created xsi:type="dcterms:W3CDTF">2026-02-26T13:55:58Z</dcterms:created>
  <dcterms:modified xsi:type="dcterms:W3CDTF">2026-02-26T13:56:25Z</dcterms:modified>
</cp:coreProperties>
</file>