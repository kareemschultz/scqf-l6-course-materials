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1.2.1_Validation" sheetId="2" state="visible" r:id="rId2"/>
    <sheet xmlns:r="http://schemas.openxmlformats.org/officeDocument/2006/relationships" name="1.2.2_Macro" sheetId="3" state="visible" r:id="rId3"/>
    <sheet xmlns:r="http://schemas.openxmlformats.org/officeDocument/2006/relationships" name="1.2.3_V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3"/>
    </font>
    <font>
      <b val="1"/>
    </font>
    <font>
      <b val="1"/>
      <color rgb="00C00000"/>
    </font>
    <font>
      <b val="1"/>
      <color rgb="001F4E79"/>
      <sz val="12"/>
    </font>
    <font>
      <name val="Calibri"/>
      <sz val="11"/>
    </font>
    <font>
      <b val="1"/>
      <sz val="11"/>
    </font>
    <font>
      <b val="1"/>
      <color rgb="00C00000"/>
      <sz val="11"/>
    </font>
    <font>
      <name val="Consolas"/>
      <color rgb="00002060"/>
      <sz val="10"/>
    </font>
    <font>
      <color rgb="0000206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3" borderId="2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164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4" customWidth="1" min="4" max="4"/>
    <col width="9" customWidth="1" min="5" max="5"/>
    <col width="9" customWidth="1" min="6" max="6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TrainingProgram</t>
        </is>
      </c>
      <c r="E1" s="1" t="inlineStr">
        <is>
          <t>Hours</t>
        </is>
      </c>
      <c r="F1" s="1" t="inlineStr">
        <is>
          <t>Cost</t>
        </is>
      </c>
    </row>
    <row r="2">
      <c r="A2" s="2" t="inlineStr">
        <is>
          <t>E101</t>
        </is>
      </c>
      <c r="B2" s="2" t="inlineStr">
        <is>
          <t>John Smith</t>
        </is>
      </c>
      <c r="C2" s="2" t="inlineStr">
        <is>
          <t>HR</t>
        </is>
      </c>
      <c r="D2" s="2" t="inlineStr">
        <is>
          <t>Communication Skills</t>
        </is>
      </c>
      <c r="E2" s="2" t="n">
        <v>12</v>
      </c>
      <c r="F2" s="3" t="n">
        <v>15000</v>
      </c>
    </row>
    <row r="3">
      <c r="A3" s="2" t="inlineStr">
        <is>
          <t>E102</t>
        </is>
      </c>
      <c r="B3" s="2" t="inlineStr">
        <is>
          <t>Emma Johnson</t>
        </is>
      </c>
      <c r="C3" s="2" t="inlineStr">
        <is>
          <t>Finance</t>
        </is>
      </c>
      <c r="D3" s="2" t="inlineStr">
        <is>
          <t>Excel Advanced</t>
        </is>
      </c>
      <c r="E3" s="2" t="n">
        <v>16</v>
      </c>
      <c r="F3" s="3" t="n">
        <v>18000</v>
      </c>
    </row>
    <row r="4">
      <c r="A4" s="2" t="inlineStr">
        <is>
          <t>E103</t>
        </is>
      </c>
      <c r="B4" s="2" t="inlineStr">
        <is>
          <t>Liam Brown</t>
        </is>
      </c>
      <c r="C4" s="2" t="inlineStr">
        <is>
          <t>IT</t>
        </is>
      </c>
      <c r="D4" s="2" t="inlineStr">
        <is>
          <t>Cloud Fundamentals</t>
        </is>
      </c>
      <c r="E4" s="2" t="n">
        <v>20</v>
      </c>
      <c r="F4" s="3" t="n">
        <v>25000</v>
      </c>
    </row>
    <row r="5">
      <c r="A5" s="2" t="inlineStr">
        <is>
          <t>E104</t>
        </is>
      </c>
      <c r="B5" s="2" t="inlineStr">
        <is>
          <t>Olivia Davis</t>
        </is>
      </c>
      <c r="C5" s="2" t="inlineStr">
        <is>
          <t>Marketing</t>
        </is>
      </c>
      <c r="D5" s="2" t="inlineStr">
        <is>
          <t>Digital Marketing</t>
        </is>
      </c>
      <c r="E5" s="2" t="n">
        <v>14</v>
      </c>
      <c r="F5" s="3" t="n">
        <v>20000</v>
      </c>
    </row>
    <row r="6">
      <c r="A6" s="2" t="inlineStr">
        <is>
          <t>E105</t>
        </is>
      </c>
      <c r="B6" s="2" t="inlineStr">
        <is>
          <t>Noah Wilson</t>
        </is>
      </c>
      <c r="C6" s="2" t="inlineStr">
        <is>
          <t>HR</t>
        </is>
      </c>
      <c r="D6" s="2" t="inlineStr">
        <is>
          <t>Team Building</t>
        </is>
      </c>
      <c r="E6" s="2" t="n">
        <v>10</v>
      </c>
      <c r="F6" s="3" t="n">
        <v>12000</v>
      </c>
    </row>
    <row r="7">
      <c r="A7" s="2" t="inlineStr">
        <is>
          <t>E106</t>
        </is>
      </c>
      <c r="B7" s="2" t="inlineStr">
        <is>
          <t>Ava Martinez</t>
        </is>
      </c>
      <c r="C7" s="2" t="inlineStr">
        <is>
          <t>Finance</t>
        </is>
      </c>
      <c r="D7" s="2" t="inlineStr">
        <is>
          <t>Financial Modelling</t>
        </is>
      </c>
      <c r="E7" s="2" t="n">
        <v>18</v>
      </c>
      <c r="F7" s="3" t="n">
        <v>22000</v>
      </c>
    </row>
    <row r="8">
      <c r="A8" s="2" t="inlineStr">
        <is>
          <t>E107</t>
        </is>
      </c>
      <c r="B8" s="2" t="inlineStr">
        <is>
          <t>Ethan Miller</t>
        </is>
      </c>
      <c r="C8" s="2" t="inlineStr">
        <is>
          <t>IT</t>
        </is>
      </c>
      <c r="D8" s="2" t="inlineStr">
        <is>
          <t>Cybersecurity Basics</t>
        </is>
      </c>
      <c r="E8" s="2" t="n">
        <v>22</v>
      </c>
      <c r="F8" s="3" t="n">
        <v>27000</v>
      </c>
    </row>
    <row r="9">
      <c r="A9" s="2" t="inlineStr">
        <is>
          <t>E108</t>
        </is>
      </c>
      <c r="B9" s="2" t="inlineStr">
        <is>
          <t>Sophia Taylor</t>
        </is>
      </c>
      <c r="C9" s="2" t="inlineStr">
        <is>
          <t>Marketing</t>
        </is>
      </c>
      <c r="D9" s="2" t="inlineStr">
        <is>
          <t>Branding Strategy</t>
        </is>
      </c>
      <c r="E9" s="2" t="n">
        <v>16</v>
      </c>
      <c r="F9" s="3" t="n">
        <v>21000</v>
      </c>
    </row>
    <row r="10">
      <c r="A10" s="2" t="inlineStr">
        <is>
          <t>E109</t>
        </is>
      </c>
      <c r="B10" s="2" t="inlineStr">
        <is>
          <t>Lucas Anderson</t>
        </is>
      </c>
      <c r="C10" s="2" t="inlineStr">
        <is>
          <t>HR</t>
        </is>
      </c>
      <c r="D10" s="2" t="inlineStr">
        <is>
          <t>Conflict Management</t>
        </is>
      </c>
      <c r="E10" s="2" t="n">
        <v>12</v>
      </c>
      <c r="F10" s="3" t="n">
        <v>14000</v>
      </c>
    </row>
    <row r="11">
      <c r="A11" s="2" t="inlineStr">
        <is>
          <t>E110</t>
        </is>
      </c>
      <c r="B11" s="2" t="inlineStr">
        <is>
          <t>Mia Thompson</t>
        </is>
      </c>
      <c r="C11" s="2" t="inlineStr">
        <is>
          <t>IT</t>
        </is>
      </c>
      <c r="D11" s="2" t="inlineStr">
        <is>
          <t>AI Essentials</t>
        </is>
      </c>
      <c r="E11" s="2" t="n">
        <v>24</v>
      </c>
      <c r="F11" s="3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24" customWidth="1" min="3" max="3"/>
    <col width="30" customWidth="1" min="4" max="4"/>
    <col width="4" customWidth="1" min="5" max="5"/>
    <col width="4" customWidth="1" min="6" max="6"/>
  </cols>
  <sheetData>
    <row r="1">
      <c r="A1" s="4" t="inlineStr">
        <is>
          <t>Data Validation &amp; Dynamic Summary</t>
        </is>
      </c>
    </row>
    <row r="2"/>
    <row r="3">
      <c r="A3" s="5" t="inlineStr">
        <is>
          <t>Department List:</t>
        </is>
      </c>
      <c r="C3" s="6" t="inlineStr">
        <is>
          <t>Select Department:</t>
        </is>
      </c>
      <c r="D3" s="7" t="inlineStr">
        <is>
          <t>HR</t>
        </is>
      </c>
    </row>
    <row r="4">
      <c r="A4" s="8" t="inlineStr">
        <is>
          <t>HR</t>
        </is>
      </c>
    </row>
    <row r="5">
      <c r="A5" s="8" t="inlineStr">
        <is>
          <t>Finance</t>
        </is>
      </c>
    </row>
    <row r="6">
      <c r="A6" s="8" t="inlineStr">
        <is>
          <t>IT</t>
        </is>
      </c>
    </row>
    <row r="7">
      <c r="A7" s="8" t="inlineStr">
        <is>
          <t>Marketing</t>
        </is>
      </c>
    </row>
    <row r="8"/>
    <row r="9"/>
    <row r="10">
      <c r="C10" s="9" t="inlineStr">
        <is>
          <t>Dynamic Summary</t>
        </is>
      </c>
    </row>
    <row r="11">
      <c r="A11" s="10" t="n"/>
      <c r="B11" s="10" t="n"/>
      <c r="C11" s="1" t="inlineStr">
        <is>
          <t>Metric</t>
        </is>
      </c>
      <c r="D11" s="1" t="inlineStr">
        <is>
          <t>Value</t>
        </is>
      </c>
    </row>
    <row r="12">
      <c r="C12" s="8" t="inlineStr">
        <is>
          <t>Total Training Hours</t>
        </is>
      </c>
      <c r="D12" s="8">
        <f>SUMIFS(Training_Data!E2:E11,Training_Data!C2:C11,D3)</f>
        <v/>
      </c>
    </row>
    <row r="13">
      <c r="C13" s="8" t="inlineStr">
        <is>
          <t>Total Training Cost</t>
        </is>
      </c>
      <c r="D13" s="11">
        <f>SUMIFS(Training_Data!F2:F11,Training_Data!C2:C11,D3)</f>
        <v/>
      </c>
    </row>
    <row r="14">
      <c r="C14" s="8" t="inlineStr">
        <is>
          <t>Number of Employees</t>
        </is>
      </c>
      <c r="D14" s="8">
        <f>COUNTIFS(Training_Data!C2:C11,D3)</f>
        <v/>
      </c>
    </row>
  </sheetData>
  <mergeCells count="1">
    <mergeCell ref="A1:F1"/>
  </mergeCells>
  <dataValidations count="1">
    <dataValidation sqref="D3" showDropDown="0" showInputMessage="0" showErrorMessage="0" allowBlank="0" errorTitle="Invalid Department" error="Please select a valid department" promptTitle="Department Selection" prompt="Select a department from the list" type="list">
      <formula1>"HR,Finance,IT,Marketing"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>
      <c r="A1" s="4" t="inlineStr">
        <is>
          <t>Macro Documentation: FormatTrainingReport</t>
        </is>
      </c>
    </row>
    <row r="2"/>
    <row r="3">
      <c r="A3" s="5" t="inlineStr">
        <is>
          <t>Macro Name:</t>
        </is>
      </c>
      <c r="B3" t="inlineStr">
        <is>
          <t>FormatTrainingReport</t>
        </is>
      </c>
    </row>
    <row r="4">
      <c r="A4" s="5" t="inlineStr">
        <is>
          <t>Purpose:</t>
        </is>
      </c>
      <c r="B4" t="inlineStr">
        <is>
          <t>Automatically formats the Training Data worksheet for professional presentation</t>
        </is>
      </c>
    </row>
    <row r="5">
      <c r="A5" s="5" t="inlineStr">
        <is>
          <t>Trigger:</t>
        </is>
      </c>
      <c r="B5" t="inlineStr">
        <is>
          <t>Manual execution via Developer &gt; Macros &gt; FormatTrainingReport &gt; Run</t>
        </is>
      </c>
    </row>
    <row r="6"/>
    <row r="7">
      <c r="A7" s="12" t="inlineStr">
        <is>
          <t>Steps Performed by Macro:</t>
        </is>
      </c>
    </row>
    <row r="8">
      <c r="A8" t="inlineStr">
        <is>
          <t>1. Selects all header cells (A1:F1)</t>
        </is>
      </c>
    </row>
    <row r="9">
      <c r="A9" t="inlineStr">
        <is>
          <t>2. Applies Bold formatting to all headers</t>
        </is>
      </c>
    </row>
    <row r="10">
      <c r="A10" t="inlineStr">
        <is>
          <t>3. Sets Currency format ($#,##0) on the Cost column (Column F)</t>
        </is>
      </c>
    </row>
    <row r="11">
      <c r="A11" t="inlineStr">
        <is>
          <t>4. AutoFits all column widths to content</t>
        </is>
      </c>
    </row>
    <row r="12">
      <c r="A12" t="inlineStr">
        <is>
          <t>5. Highlights the header row with light blue fill (RGB 221, 235, 247)</t>
        </is>
      </c>
    </row>
    <row r="13">
      <c r="A13" s="13" t="inlineStr">
        <is>
          <t>VBA Code:</t>
        </is>
      </c>
    </row>
    <row r="14">
      <c r="A14" s="14" t="inlineStr">
        <is>
          <t>Sub FormatTrainingReport()</t>
        </is>
      </c>
    </row>
    <row r="15">
      <c r="A15" s="14" t="inlineStr">
        <is>
          <t xml:space="preserve">    Dim ws As Worksheet</t>
        </is>
      </c>
    </row>
    <row r="16">
      <c r="A16" s="14" t="inlineStr">
        <is>
          <t xml:space="preserve">    Set ws = ActiveSheet</t>
        </is>
      </c>
    </row>
    <row r="17">
      <c r="A17" s="14" t="inlineStr">
        <is>
          <t xml:space="preserve">    </t>
        </is>
      </c>
    </row>
    <row r="18">
      <c r="A18" s="14" t="inlineStr">
        <is>
          <t xml:space="preserve">    ' Bold headers</t>
        </is>
      </c>
    </row>
    <row r="19">
      <c r="A19" s="14" t="inlineStr">
        <is>
          <t xml:space="preserve">    ws.Range("A1:F1").Font.Bold = True</t>
        </is>
      </c>
    </row>
    <row r="20">
      <c r="A20" s="14" t="inlineStr">
        <is>
          <t xml:space="preserve">    </t>
        </is>
      </c>
    </row>
    <row r="21">
      <c r="A21" s="14" t="inlineStr">
        <is>
          <t xml:space="preserve">    ' Currency format for Cost column</t>
        </is>
      </c>
    </row>
    <row r="22">
      <c r="A22" s="14" t="inlineStr">
        <is>
          <t xml:space="preserve">    ws.Range("F:F").NumberFormat = "$#,##0"</t>
        </is>
      </c>
    </row>
    <row r="23">
      <c r="A23" s="14" t="inlineStr">
        <is>
          <t xml:space="preserve">    </t>
        </is>
      </c>
    </row>
    <row r="24">
      <c r="A24" s="14" t="inlineStr">
        <is>
          <t xml:space="preserve">    ' Autofit columns</t>
        </is>
      </c>
    </row>
    <row r="25">
      <c r="A25" s="14" t="inlineStr">
        <is>
          <t xml:space="preserve">    ws.Cells.EntireColumn.AutoFit</t>
        </is>
      </c>
    </row>
    <row r="26">
      <c r="A26" s="14" t="inlineStr">
        <is>
          <t xml:space="preserve">    </t>
        </is>
      </c>
    </row>
    <row r="27">
      <c r="A27" s="14" t="inlineStr">
        <is>
          <t xml:space="preserve">    ' Highlight header row with light blue</t>
        </is>
      </c>
    </row>
    <row r="28">
      <c r="A28" s="14" t="inlineStr">
        <is>
          <t xml:space="preserve">    ws.Range("A1:F1").Interior.Color = RGB(221, 235, 247)</t>
        </is>
      </c>
    </row>
    <row r="29">
      <c r="A29" s="14" t="inlineStr">
        <is>
          <t>End Sub</t>
        </is>
      </c>
    </row>
    <row r="30">
      <c r="A30" s="12" t="inlineStr">
        <is>
          <t>Recording Steps:</t>
        </is>
      </c>
    </row>
    <row r="31">
      <c r="A31" t="inlineStr">
        <is>
          <t>1. Open the Employee Training workbook</t>
        </is>
      </c>
    </row>
    <row r="32">
      <c r="A32" t="inlineStr">
        <is>
          <t>2. Go to Developer tab &gt; Record Macro</t>
        </is>
      </c>
    </row>
    <row r="33">
      <c r="A33" t="inlineStr">
        <is>
          <t>3. Name the macro 'FormatTrainingReport', store in 'This Workbook'</t>
        </is>
      </c>
    </row>
    <row r="34">
      <c r="A34" t="inlineStr">
        <is>
          <t>4. Perform each formatting action manually (bold headers, currency format, autofit, fill color)</t>
        </is>
      </c>
    </row>
    <row r="35">
      <c r="A35" t="inlineStr">
        <is>
          <t>5. Click Developer &gt; Stop Recording</t>
        </is>
      </c>
    </row>
    <row r="36">
      <c r="A36" t="inlineStr">
        <is>
          <t>6. Save the file as .xlsm (Macro-Enabled Workbook)</t>
        </is>
      </c>
    </row>
    <row r="37">
      <c r="A37" t="inlineStr"/>
    </row>
    <row r="38">
      <c r="A38" t="inlineStr">
        <is>
          <t>Note: The .xlsx format does not support VBA macros. To use the macro,</t>
        </is>
      </c>
    </row>
    <row r="39">
      <c r="A39" t="inlineStr">
        <is>
          <t>save as Employee_Training_Macro.xlsm and paste the VBA code in a Module.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" customWidth="1" min="3" max="3"/>
    <col width="4" customWidth="1" min="4" max="4"/>
  </cols>
  <sheetData>
    <row r="1">
      <c r="A1" s="4" t="inlineStr">
        <is>
          <t>VLOOKUP: Retrieve Training Program by Employee Name</t>
        </is>
      </c>
    </row>
    <row r="2"/>
    <row r="3">
      <c r="A3" s="1" t="inlineStr">
        <is>
          <t>Employee Name</t>
        </is>
      </c>
      <c r="B3" s="1" t="inlineStr">
        <is>
          <t>Training Program (VLOOKUP Result)</t>
        </is>
      </c>
    </row>
    <row r="4">
      <c r="A4" s="8" t="inlineStr">
        <is>
          <t>John Smith</t>
        </is>
      </c>
      <c r="B4" s="15">
        <f>VLOOKUP(A4,Training_Data!B$1:D$11,3,FALSE)</f>
        <v/>
      </c>
    </row>
    <row r="5">
      <c r="A5" s="8" t="inlineStr">
        <is>
          <t>Emma Johnson</t>
        </is>
      </c>
      <c r="B5" s="15">
        <f>VLOOKUP(A5,Training_Data!B$1:D$11,3,FALSE)</f>
        <v/>
      </c>
    </row>
    <row r="6">
      <c r="A6" s="8" t="inlineStr">
        <is>
          <t>Liam Brown</t>
        </is>
      </c>
      <c r="B6" s="15">
        <f>VLOOKUP(A6,Training_Data!B$1:D$11,3,FALSE)</f>
        <v/>
      </c>
    </row>
    <row r="7">
      <c r="A7" s="8" t="inlineStr">
        <is>
          <t>Olivia Davis</t>
        </is>
      </c>
      <c r="B7" s="15">
        <f>VLOOKUP(A7,Training_Data!B$1:D$11,3,FALSE)</f>
        <v/>
      </c>
    </row>
    <row r="8">
      <c r="A8" s="8" t="inlineStr">
        <is>
          <t>Noah Wilson</t>
        </is>
      </c>
      <c r="B8" s="15">
        <f>VLOOKUP(A8,Training_Data!B$1:D$11,3,FALSE)</f>
        <v/>
      </c>
    </row>
    <row r="9">
      <c r="A9" s="8" t="inlineStr">
        <is>
          <t>Ava Martinez</t>
        </is>
      </c>
      <c r="B9" s="15">
        <f>VLOOKUP(A9,Training_Data!B$1:D$11,3,FALSE)</f>
        <v/>
      </c>
    </row>
    <row r="10">
      <c r="A10" s="8" t="inlineStr">
        <is>
          <t>Ethan Miller</t>
        </is>
      </c>
      <c r="B10" s="15">
        <f>VLOOKUP(A10,Training_Data!B$1:D$11,3,FALSE)</f>
        <v/>
      </c>
    </row>
    <row r="11">
      <c r="A11" s="8" t="inlineStr">
        <is>
          <t>Sophia Taylor</t>
        </is>
      </c>
      <c r="B11" s="15">
        <f>VLOOKUP(A11,Training_Data!B$1:D$11,3,FALSE)</f>
        <v/>
      </c>
    </row>
    <row r="12">
      <c r="A12" s="8" t="inlineStr">
        <is>
          <t>Lucas Anderson</t>
        </is>
      </c>
      <c r="B12" s="15">
        <f>VLOOKUP(A12,Training_Data!B$1:D$11,3,FALSE)</f>
        <v/>
      </c>
    </row>
    <row r="13">
      <c r="A13" s="8" t="inlineStr">
        <is>
          <t>Mia Thompson</t>
        </is>
      </c>
      <c r="B13" s="15">
        <f>VLOOKUP(A13,Training_Data!B$1:D$11,3,FALSE)</f>
        <v/>
      </c>
    </row>
    <row r="14">
      <c r="A14" s="5" t="inlineStr">
        <is>
          <t>Formula Explanation:</t>
        </is>
      </c>
    </row>
    <row r="15">
      <c r="A15">
        <f>VLOOKUP(A4, Training_Data!B$1:D$11, 3, FALSE)</f>
        <v/>
      </c>
    </row>
    <row r="16">
      <c r="A16" t="inlineStr">
        <is>
          <t>• Lookup Value: Employee Name (Column A)</t>
        </is>
      </c>
    </row>
    <row r="17">
      <c r="A17" t="inlineStr">
        <is>
          <t>• Table Array: Training_Data!B1:D11 (Name, Department, TrainingProgram)</t>
        </is>
      </c>
    </row>
    <row r="18">
      <c r="A18" t="inlineStr">
        <is>
          <t>• Column Index: 3 (returns the TrainingProgram column)</t>
        </is>
      </c>
    </row>
    <row r="19">
      <c r="A19" t="inlineStr">
        <is>
          <t>• Range Lookup: FALSE (exact match)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2026-02-03T01:55:15Z</dcterms:created>
  <dcterms:modified xmlns:dcterms="http://purl.org/dc/terms/" xmlns:xsi="http://www.w3.org/2001/XMLSchema-instance" xsi:type="dcterms:W3CDTF">2026-02-03T01:55:15Z</dcterms:modified>
</cp:coreProperties>
</file>