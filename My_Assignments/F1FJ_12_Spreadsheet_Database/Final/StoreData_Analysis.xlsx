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Data" sheetId="1" state="visible" r:id="rId1"/>
    <sheet xmlns:r="http://schemas.openxmlformats.org/officeDocument/2006/relationships" name="2.2.1_Managers_Report" sheetId="2" state="visible" r:id="rId2"/>
    <sheet xmlns:r="http://schemas.openxmlformats.org/officeDocument/2006/relationships" name="2.2.2_Forecast" sheetId="3" state="visible" r:id="rId3"/>
    <sheet xmlns:r="http://schemas.openxmlformats.org/officeDocument/2006/relationships" name="2.2.3_Accountants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4"/>
    </font>
    <font>
      <b val="1"/>
    </font>
    <font>
      <i val="1"/>
      <color rgb="00C00000"/>
    </font>
    <font>
      <b val="1"/>
      <color rgb="001F4E79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3" fillId="3" borderId="1" pivotButton="0" quotePrefix="0" xfId="0"/>
    <xf numFmtId="3" fontId="3" fillId="3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6-Month Sales by Product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'2.2.1_Managers_Report'!B9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dLbls>
            <showVal val="1"/>
          </dLbls>
          <cat>
            <numRef>
              <f>'2.2.1_Managers_Report'!$A$10:$A$12</f>
            </numRef>
          </cat>
          <val>
            <numRef>
              <f>'2.2.1_Managers_Report'!$B$10:$B$12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Electronics Monthly Sales with Linear Trendline</a:t>
            </a:r>
          </a:p>
        </rich>
      </tx>
    </title>
    <plotArea>
      <lineChart>
        <grouping val="standard"/>
        <ser>
          <idx val="0"/>
          <order val="0"/>
          <tx>
            <strRef>
              <f>'2.2.2_Forecast'!C3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forward val="0"/>
            <dispRSqr val="1"/>
            <dispEq val="1"/>
          </trendline>
          <cat>
            <numRef>
              <f>'2.2.2_Forecast'!$A$4:$A$11</f>
            </numRef>
          </cat>
          <val>
            <numRef>
              <f>'2.2.2_Forecast'!$C$4:$C$11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19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7" customWidth="1" min="5" max="5"/>
    <col width="17" customWidth="1" min="6" max="6"/>
    <col width="18" customWidth="1" min="7" max="7"/>
  </cols>
  <sheetData>
    <row r="1">
      <c r="A1" s="1" t="inlineStr">
        <is>
          <t>Month</t>
        </is>
      </c>
      <c r="B1" s="1" t="inlineStr">
        <is>
          <t>Electronics</t>
        </is>
      </c>
      <c r="C1" s="1" t="inlineStr">
        <is>
          <t>HomeGoods</t>
        </is>
      </c>
      <c r="D1" s="1" t="inlineStr">
        <is>
          <t>Clothing</t>
        </is>
      </c>
      <c r="E1" s="1" t="inlineStr">
        <is>
          <t>Elec_Expenses</t>
        </is>
      </c>
      <c r="F1" s="1" t="inlineStr">
        <is>
          <t>Home_Expenses</t>
        </is>
      </c>
      <c r="G1" s="1" t="inlineStr">
        <is>
          <t>Cloth_Expenses</t>
        </is>
      </c>
    </row>
    <row r="2">
      <c r="A2" s="2" t="inlineStr">
        <is>
          <t>January</t>
        </is>
      </c>
      <c r="B2" s="3" t="n">
        <v>120000</v>
      </c>
      <c r="C2" s="3" t="n">
        <v>85000</v>
      </c>
      <c r="D2" s="3" t="n">
        <v>60000</v>
      </c>
      <c r="E2" s="3" t="n">
        <v>70000</v>
      </c>
      <c r="F2" s="3" t="n">
        <v>40000</v>
      </c>
      <c r="G2" s="3" t="n">
        <v>30000</v>
      </c>
    </row>
    <row r="3">
      <c r="A3" s="2" t="inlineStr">
        <is>
          <t>February</t>
        </is>
      </c>
      <c r="B3" s="3" t="n">
        <v>135000</v>
      </c>
      <c r="C3" s="3" t="n">
        <v>90000</v>
      </c>
      <c r="D3" s="3" t="n">
        <v>65000</v>
      </c>
      <c r="E3" s="3" t="n">
        <v>75000</v>
      </c>
      <c r="F3" s="3" t="n">
        <v>42000</v>
      </c>
      <c r="G3" s="3" t="n">
        <v>31000</v>
      </c>
    </row>
    <row r="4">
      <c r="A4" s="2" t="inlineStr">
        <is>
          <t>March</t>
        </is>
      </c>
      <c r="B4" s="3" t="n">
        <v>150000</v>
      </c>
      <c r="C4" s="3" t="n">
        <v>95000</v>
      </c>
      <c r="D4" s="3" t="n">
        <v>70000</v>
      </c>
      <c r="E4" s="3" t="n">
        <v>82000</v>
      </c>
      <c r="F4" s="3" t="n">
        <v>45000</v>
      </c>
      <c r="G4" s="3" t="n">
        <v>33000</v>
      </c>
    </row>
    <row r="5">
      <c r="A5" s="2" t="inlineStr">
        <is>
          <t>April</t>
        </is>
      </c>
      <c r="B5" s="3" t="n">
        <v>160000</v>
      </c>
      <c r="C5" s="3" t="n">
        <v>100000</v>
      </c>
      <c r="D5" s="3" t="n">
        <v>72000</v>
      </c>
      <c r="E5" s="3" t="n">
        <v>88000</v>
      </c>
      <c r="F5" s="3" t="n">
        <v>47000</v>
      </c>
      <c r="G5" s="3" t="n">
        <v>34000</v>
      </c>
    </row>
    <row r="6">
      <c r="A6" s="2" t="inlineStr">
        <is>
          <t>May</t>
        </is>
      </c>
      <c r="B6" s="3" t="n">
        <v>170000</v>
      </c>
      <c r="C6" s="3" t="n">
        <v>99000</v>
      </c>
      <c r="D6" s="3" t="n">
        <v>75000</v>
      </c>
      <c r="E6" s="3" t="n">
        <v>92000</v>
      </c>
      <c r="F6" s="3" t="n">
        <v>46000</v>
      </c>
      <c r="G6" s="3" t="n">
        <v>35000</v>
      </c>
    </row>
    <row r="7">
      <c r="A7" s="2" t="inlineStr">
        <is>
          <t>June</t>
        </is>
      </c>
      <c r="B7" s="3" t="n">
        <v>155000</v>
      </c>
      <c r="C7" s="3" t="n">
        <v>97000</v>
      </c>
      <c r="D7" s="3" t="n">
        <v>77000</v>
      </c>
      <c r="E7" s="3" t="n">
        <v>83000</v>
      </c>
      <c r="F7" s="3" t="n">
        <v>45500</v>
      </c>
      <c r="G7" s="3" t="n">
        <v>36000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" customWidth="1" min="3" max="3"/>
    <col width="4" customWidth="1" min="4" max="4"/>
  </cols>
  <sheetData>
    <row r="1">
      <c r="A1" s="4" t="inlineStr">
        <is>
          <t>Manager's Summary Report — Total 6-Month Sales by Category</t>
        </is>
      </c>
    </row>
    <row r="2"/>
    <row r="3">
      <c r="A3" s="1" t="inlineStr">
        <is>
          <t>Product Category</t>
        </is>
      </c>
      <c r="B3" s="1" t="inlineStr">
        <is>
          <t>Total Sales (6 Months)</t>
        </is>
      </c>
    </row>
    <row r="4">
      <c r="A4" s="5" t="inlineStr">
        <is>
          <t>Electronics</t>
        </is>
      </c>
      <c r="B4" s="6">
        <f>SUM(StoreData!B2:B7)</f>
        <v/>
      </c>
    </row>
    <row r="5">
      <c r="A5" s="5" t="inlineStr">
        <is>
          <t>HomeGoods</t>
        </is>
      </c>
      <c r="B5" s="6">
        <f>SUM(StoreData!C2:C7)</f>
        <v/>
      </c>
    </row>
    <row r="6">
      <c r="A6" s="5" t="inlineStr">
        <is>
          <t>Clothing</t>
        </is>
      </c>
      <c r="B6" s="6">
        <f>SUM(StoreData!D2:D7)</f>
        <v/>
      </c>
    </row>
    <row r="7">
      <c r="A7" s="7" t="inlineStr">
        <is>
          <t>GRAND TOTAL</t>
        </is>
      </c>
      <c r="B7" s="8">
        <f>SUM(B4:B6)</f>
        <v/>
      </c>
    </row>
    <row r="8"/>
    <row r="9">
      <c r="B9" t="inlineStr">
        <is>
          <t>Total Sales</t>
        </is>
      </c>
    </row>
    <row r="10">
      <c r="A10" t="inlineStr">
        <is>
          <t>Electronics</t>
        </is>
      </c>
      <c r="B10" t="n">
        <v>890000</v>
      </c>
    </row>
    <row r="11">
      <c r="A11" t="inlineStr">
        <is>
          <t>HomeGoods</t>
        </is>
      </c>
      <c r="B11" t="n">
        <v>566000</v>
      </c>
    </row>
    <row r="12">
      <c r="A12" t="inlineStr">
        <is>
          <t>Clothing</t>
        </is>
      </c>
      <c r="B12" t="n">
        <v>419000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1" customWidth="1" min="3" max="3"/>
    <col width="4" customWidth="1" min="4" max="4"/>
    <col width="4" customWidth="1" min="5" max="5"/>
  </cols>
  <sheetData>
    <row r="1">
      <c r="A1" s="4" t="inlineStr">
        <is>
          <t>Electronics Sales Forecast — Linear Trendline Analysis</t>
        </is>
      </c>
    </row>
    <row r="2"/>
    <row r="3">
      <c r="A3" s="1" t="inlineStr">
        <is>
          <t>Month</t>
        </is>
      </c>
      <c r="B3" s="1" t="inlineStr">
        <is>
          <t>Period (x)</t>
        </is>
      </c>
      <c r="C3" s="1" t="inlineStr">
        <is>
          <t>Electronics Sales</t>
        </is>
      </c>
    </row>
    <row r="4">
      <c r="A4" s="5" t="inlineStr">
        <is>
          <t>January</t>
        </is>
      </c>
      <c r="B4" s="5" t="n">
        <v>1</v>
      </c>
      <c r="C4" s="6" t="n">
        <v>120000</v>
      </c>
    </row>
    <row r="5">
      <c r="A5" s="5" t="inlineStr">
        <is>
          <t>February</t>
        </is>
      </c>
      <c r="B5" s="5" t="n">
        <v>2</v>
      </c>
      <c r="C5" s="6" t="n">
        <v>135000</v>
      </c>
    </row>
    <row r="6">
      <c r="A6" s="5" t="inlineStr">
        <is>
          <t>March</t>
        </is>
      </c>
      <c r="B6" s="5" t="n">
        <v>3</v>
      </c>
      <c r="C6" s="6" t="n">
        <v>150000</v>
      </c>
    </row>
    <row r="7">
      <c r="A7" s="5" t="inlineStr">
        <is>
          <t>April</t>
        </is>
      </c>
      <c r="B7" s="5" t="n">
        <v>4</v>
      </c>
      <c r="C7" s="6" t="n">
        <v>160000</v>
      </c>
    </row>
    <row r="8">
      <c r="A8" s="5" t="inlineStr">
        <is>
          <t>May</t>
        </is>
      </c>
      <c r="B8" s="5" t="n">
        <v>5</v>
      </c>
      <c r="C8" s="6" t="n">
        <v>170000</v>
      </c>
    </row>
    <row r="9">
      <c r="A9" s="5" t="inlineStr">
        <is>
          <t>June</t>
        </is>
      </c>
      <c r="B9" s="5" t="n">
        <v>6</v>
      </c>
      <c r="C9" s="6" t="n">
        <v>155000</v>
      </c>
    </row>
    <row r="10">
      <c r="A10" s="9" t="inlineStr">
        <is>
          <t>July (Forecast)</t>
        </is>
      </c>
      <c r="B10" s="5" t="n">
        <v>7</v>
      </c>
      <c r="C10" s="10" t="n">
        <v>177333</v>
      </c>
    </row>
    <row r="11">
      <c r="A11" s="9" t="inlineStr">
        <is>
          <t>August (Forecast)</t>
        </is>
      </c>
      <c r="B11" s="5" t="n">
        <v>8</v>
      </c>
      <c r="C11" s="10" t="n">
        <v>185619</v>
      </c>
    </row>
    <row r="12">
      <c r="A12" s="11" t="inlineStr">
        <is>
          <t>Trendline Analysis:</t>
        </is>
      </c>
    </row>
    <row r="13">
      <c r="A13" t="inlineStr">
        <is>
          <t>Linear Equation: y = 8285.71x + 119333.33</t>
        </is>
      </c>
    </row>
    <row r="14">
      <c r="A14" t="inlineStr">
        <is>
          <t>R² Value: 0.7356</t>
        </is>
      </c>
    </row>
    <row r="15">
      <c r="A15" t="inlineStr">
        <is>
          <t>Slope: 8285.71 (average monthly increase in Electronics sales)</t>
        </is>
      </c>
    </row>
    <row r="16">
      <c r="A16" t="inlineStr">
        <is>
          <t>July Forecast (x=7): £177,333</t>
        </is>
      </c>
    </row>
    <row r="17">
      <c r="A17" t="inlineStr">
        <is>
          <t>August Forecast (x=8): £185,619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7" customWidth="1" min="4" max="4"/>
    <col width="12" customWidth="1" min="5" max="5"/>
    <col width="30" customWidth="1" min="6" max="6"/>
  </cols>
  <sheetData>
    <row r="1">
      <c r="A1" s="4" t="inlineStr">
        <is>
          <t>Accountant's Detailed Report — Sales, Expenses &amp; Profit Analysis</t>
        </is>
      </c>
    </row>
    <row r="2"/>
    <row r="3">
      <c r="A3" s="1" t="inlineStr">
        <is>
          <t>Month</t>
        </is>
      </c>
      <c r="B3" s="1" t="inlineStr">
        <is>
          <t>Product</t>
        </is>
      </c>
      <c r="C3" s="1" t="inlineStr">
        <is>
          <t>Sales</t>
        </is>
      </c>
      <c r="D3" s="1" t="inlineStr">
        <is>
          <t>Expenses</t>
        </is>
      </c>
      <c r="E3" s="1" t="inlineStr">
        <is>
          <t>Profit</t>
        </is>
      </c>
      <c r="F3" s="1" t="inlineStr">
        <is>
          <t>Low Profit Flag</t>
        </is>
      </c>
    </row>
    <row r="4">
      <c r="A4" s="5" t="inlineStr">
        <is>
          <t>January</t>
        </is>
      </c>
      <c r="B4" s="5" t="inlineStr">
        <is>
          <t>Electronics</t>
        </is>
      </c>
      <c r="C4" s="6">
        <f>StoreData!B2</f>
        <v/>
      </c>
      <c r="D4" s="6">
        <f>StoreData!E2</f>
        <v/>
      </c>
      <c r="E4" s="6">
        <f>C4-D4</f>
        <v/>
      </c>
      <c r="F4" s="5">
        <f>IF(E4&lt;20000,"⚠ LOW PROFIT","OK")</f>
        <v/>
      </c>
    </row>
    <row r="5">
      <c r="A5" s="5" t="inlineStr">
        <is>
          <t>January</t>
        </is>
      </c>
      <c r="B5" s="5" t="inlineStr">
        <is>
          <t>HomeGoods</t>
        </is>
      </c>
      <c r="C5" s="6">
        <f>StoreData!C2</f>
        <v/>
      </c>
      <c r="D5" s="6">
        <f>StoreData!F2</f>
        <v/>
      </c>
      <c r="E5" s="6">
        <f>C5-D5</f>
        <v/>
      </c>
      <c r="F5" s="5">
        <f>IF(E5&lt;20000,"⚠ LOW PROFIT","OK")</f>
        <v/>
      </c>
    </row>
    <row r="6">
      <c r="A6" s="5" t="inlineStr">
        <is>
          <t>January</t>
        </is>
      </c>
      <c r="B6" s="5" t="inlineStr">
        <is>
          <t>Clothing</t>
        </is>
      </c>
      <c r="C6" s="6">
        <f>StoreData!D2</f>
        <v/>
      </c>
      <c r="D6" s="6">
        <f>StoreData!G2</f>
        <v/>
      </c>
      <c r="E6" s="6">
        <f>C6-D6</f>
        <v/>
      </c>
      <c r="F6" s="5">
        <f>IF(E6&lt;20000,"⚠ LOW PROFIT","OK")</f>
        <v/>
      </c>
    </row>
    <row r="7">
      <c r="A7" s="5" t="inlineStr">
        <is>
          <t>February</t>
        </is>
      </c>
      <c r="B7" s="5" t="inlineStr">
        <is>
          <t>Electronics</t>
        </is>
      </c>
      <c r="C7" s="6">
        <f>StoreData!B3</f>
        <v/>
      </c>
      <c r="D7" s="6">
        <f>StoreData!E3</f>
        <v/>
      </c>
      <c r="E7" s="6">
        <f>C7-D7</f>
        <v/>
      </c>
      <c r="F7" s="5">
        <f>IF(E7&lt;20000,"⚠ LOW PROFIT","OK")</f>
        <v/>
      </c>
    </row>
    <row r="8">
      <c r="A8" s="5" t="inlineStr">
        <is>
          <t>February</t>
        </is>
      </c>
      <c r="B8" s="5" t="inlineStr">
        <is>
          <t>HomeGoods</t>
        </is>
      </c>
      <c r="C8" s="6">
        <f>StoreData!C3</f>
        <v/>
      </c>
      <c r="D8" s="6">
        <f>StoreData!F3</f>
        <v/>
      </c>
      <c r="E8" s="6">
        <f>C8-D8</f>
        <v/>
      </c>
      <c r="F8" s="5">
        <f>IF(E8&lt;20000,"⚠ LOW PROFIT","OK")</f>
        <v/>
      </c>
    </row>
    <row r="9">
      <c r="A9" s="5" t="inlineStr">
        <is>
          <t>February</t>
        </is>
      </c>
      <c r="B9" s="5" t="inlineStr">
        <is>
          <t>Clothing</t>
        </is>
      </c>
      <c r="C9" s="6">
        <f>StoreData!D3</f>
        <v/>
      </c>
      <c r="D9" s="6">
        <f>StoreData!G3</f>
        <v/>
      </c>
      <c r="E9" s="6">
        <f>C9-D9</f>
        <v/>
      </c>
      <c r="F9" s="5">
        <f>IF(E9&lt;20000,"⚠ LOW PROFIT","OK")</f>
        <v/>
      </c>
    </row>
    <row r="10">
      <c r="A10" s="5" t="inlineStr">
        <is>
          <t>March</t>
        </is>
      </c>
      <c r="B10" s="5" t="inlineStr">
        <is>
          <t>Electronics</t>
        </is>
      </c>
      <c r="C10" s="6">
        <f>StoreData!B4</f>
        <v/>
      </c>
      <c r="D10" s="6">
        <f>StoreData!E4</f>
        <v/>
      </c>
      <c r="E10" s="6">
        <f>C10-D10</f>
        <v/>
      </c>
      <c r="F10" s="5">
        <f>IF(E10&lt;20000,"⚠ LOW PROFIT","OK")</f>
        <v/>
      </c>
    </row>
    <row r="11">
      <c r="A11" s="5" t="inlineStr">
        <is>
          <t>March</t>
        </is>
      </c>
      <c r="B11" s="5" t="inlineStr">
        <is>
          <t>HomeGoods</t>
        </is>
      </c>
      <c r="C11" s="6">
        <f>StoreData!C4</f>
        <v/>
      </c>
      <c r="D11" s="6">
        <f>StoreData!F4</f>
        <v/>
      </c>
      <c r="E11" s="6">
        <f>C11-D11</f>
        <v/>
      </c>
      <c r="F11" s="5">
        <f>IF(E11&lt;20000,"⚠ LOW PROFIT","OK")</f>
        <v/>
      </c>
    </row>
    <row r="12">
      <c r="A12" s="5" t="inlineStr">
        <is>
          <t>March</t>
        </is>
      </c>
      <c r="B12" s="5" t="inlineStr">
        <is>
          <t>Clothing</t>
        </is>
      </c>
      <c r="C12" s="6">
        <f>StoreData!D4</f>
        <v/>
      </c>
      <c r="D12" s="6">
        <f>StoreData!G4</f>
        <v/>
      </c>
      <c r="E12" s="6">
        <f>C12-D12</f>
        <v/>
      </c>
      <c r="F12" s="5">
        <f>IF(E12&lt;20000,"⚠ LOW PROFIT","OK")</f>
        <v/>
      </c>
    </row>
    <row r="13">
      <c r="A13" s="5" t="inlineStr">
        <is>
          <t>April</t>
        </is>
      </c>
      <c r="B13" s="5" t="inlineStr">
        <is>
          <t>Electronics</t>
        </is>
      </c>
      <c r="C13" s="6">
        <f>StoreData!B5</f>
        <v/>
      </c>
      <c r="D13" s="6">
        <f>StoreData!E5</f>
        <v/>
      </c>
      <c r="E13" s="6">
        <f>C13-D13</f>
        <v/>
      </c>
      <c r="F13" s="5">
        <f>IF(E13&lt;20000,"⚠ LOW PROFIT","OK")</f>
        <v/>
      </c>
    </row>
    <row r="14">
      <c r="A14" s="5" t="inlineStr">
        <is>
          <t>April</t>
        </is>
      </c>
      <c r="B14" s="5" t="inlineStr">
        <is>
          <t>HomeGoods</t>
        </is>
      </c>
      <c r="C14" s="6">
        <f>StoreData!C5</f>
        <v/>
      </c>
      <c r="D14" s="6">
        <f>StoreData!F5</f>
        <v/>
      </c>
      <c r="E14" s="6">
        <f>C14-D14</f>
        <v/>
      </c>
      <c r="F14" s="5">
        <f>IF(E14&lt;20000,"⚠ LOW PROFIT","OK")</f>
        <v/>
      </c>
    </row>
    <row r="15">
      <c r="A15" s="5" t="inlineStr">
        <is>
          <t>April</t>
        </is>
      </c>
      <c r="B15" s="5" t="inlineStr">
        <is>
          <t>Clothing</t>
        </is>
      </c>
      <c r="C15" s="6">
        <f>StoreData!D5</f>
        <v/>
      </c>
      <c r="D15" s="6">
        <f>StoreData!G5</f>
        <v/>
      </c>
      <c r="E15" s="6">
        <f>C15-D15</f>
        <v/>
      </c>
      <c r="F15" s="5">
        <f>IF(E15&lt;20000,"⚠ LOW PROFIT","OK")</f>
        <v/>
      </c>
    </row>
    <row r="16">
      <c r="A16" s="5" t="inlineStr">
        <is>
          <t>May</t>
        </is>
      </c>
      <c r="B16" s="5" t="inlineStr">
        <is>
          <t>Electronics</t>
        </is>
      </c>
      <c r="C16" s="6">
        <f>StoreData!B6</f>
        <v/>
      </c>
      <c r="D16" s="6">
        <f>StoreData!E6</f>
        <v/>
      </c>
      <c r="E16" s="6">
        <f>C16-D16</f>
        <v/>
      </c>
      <c r="F16" s="5">
        <f>IF(E16&lt;20000,"⚠ LOW PROFIT","OK")</f>
        <v/>
      </c>
    </row>
    <row r="17">
      <c r="A17" s="5" t="inlineStr">
        <is>
          <t>May</t>
        </is>
      </c>
      <c r="B17" s="5" t="inlineStr">
        <is>
          <t>HomeGoods</t>
        </is>
      </c>
      <c r="C17" s="6">
        <f>StoreData!C6</f>
        <v/>
      </c>
      <c r="D17" s="6">
        <f>StoreData!F6</f>
        <v/>
      </c>
      <c r="E17" s="6">
        <f>C17-D17</f>
        <v/>
      </c>
      <c r="F17" s="5">
        <f>IF(E17&lt;20000,"⚠ LOW PROFIT","OK")</f>
        <v/>
      </c>
    </row>
    <row r="18">
      <c r="A18" s="5" t="inlineStr">
        <is>
          <t>May</t>
        </is>
      </c>
      <c r="B18" s="5" t="inlineStr">
        <is>
          <t>Clothing</t>
        </is>
      </c>
      <c r="C18" s="6">
        <f>StoreData!D6</f>
        <v/>
      </c>
      <c r="D18" s="6">
        <f>StoreData!G6</f>
        <v/>
      </c>
      <c r="E18" s="6">
        <f>C18-D18</f>
        <v/>
      </c>
      <c r="F18" s="5">
        <f>IF(E18&lt;20000,"⚠ LOW PROFIT","OK")</f>
        <v/>
      </c>
    </row>
    <row r="19">
      <c r="A19" s="5" t="inlineStr">
        <is>
          <t>June</t>
        </is>
      </c>
      <c r="B19" s="5" t="inlineStr">
        <is>
          <t>Electronics</t>
        </is>
      </c>
      <c r="C19" s="6">
        <f>StoreData!B7</f>
        <v/>
      </c>
      <c r="D19" s="6">
        <f>StoreData!E7</f>
        <v/>
      </c>
      <c r="E19" s="6">
        <f>C19-D19</f>
        <v/>
      </c>
      <c r="F19" s="5">
        <f>IF(E19&lt;20000,"⚠ LOW PROFIT","OK")</f>
        <v/>
      </c>
    </row>
    <row r="20">
      <c r="A20" s="5" t="inlineStr">
        <is>
          <t>June</t>
        </is>
      </c>
      <c r="B20" s="5" t="inlineStr">
        <is>
          <t>HomeGoods</t>
        </is>
      </c>
      <c r="C20" s="6">
        <f>StoreData!C7</f>
        <v/>
      </c>
      <c r="D20" s="6">
        <f>StoreData!F7</f>
        <v/>
      </c>
      <c r="E20" s="6">
        <f>C20-D20</f>
        <v/>
      </c>
      <c r="F20" s="5">
        <f>IF(E20&lt;20000,"⚠ LOW PROFIT","OK")</f>
        <v/>
      </c>
    </row>
    <row r="21">
      <c r="A21" s="5" t="inlineStr">
        <is>
          <t>June</t>
        </is>
      </c>
      <c r="B21" s="5" t="inlineStr">
        <is>
          <t>Clothing</t>
        </is>
      </c>
      <c r="C21" s="6">
        <f>StoreData!D7</f>
        <v/>
      </c>
      <c r="D21" s="6">
        <f>StoreData!G7</f>
        <v/>
      </c>
      <c r="E21" s="6">
        <f>C21-D21</f>
        <v/>
      </c>
      <c r="F21" s="5">
        <f>IF(E21&lt;20000,"⚠ LOW PROFIT","OK")</f>
        <v/>
      </c>
    </row>
    <row r="22">
      <c r="A22" s="11" t="inlineStr">
        <is>
          <t>Summary by Product (SUMIF)</t>
        </is>
      </c>
    </row>
    <row r="23">
      <c r="A23" s="1" t="inlineStr">
        <is>
          <t>Product</t>
        </is>
      </c>
      <c r="B23" s="1" t="inlineStr">
        <is>
          <t>Total Sales</t>
        </is>
      </c>
      <c r="C23" s="1" t="inlineStr">
        <is>
          <t>Total Expenses</t>
        </is>
      </c>
      <c r="D23" s="1" t="inlineStr">
        <is>
          <t>Total Profit</t>
        </is>
      </c>
    </row>
    <row r="24">
      <c r="A24" s="5" t="inlineStr">
        <is>
          <t>Electronics</t>
        </is>
      </c>
      <c r="B24" s="6">
        <f>SUMIF($B$4:$B$21,A24,$C$4:$C$21)</f>
        <v/>
      </c>
      <c r="C24" s="6">
        <f>SUMIF($B$4:$B$21,A24,$D$4:$D$21)</f>
        <v/>
      </c>
      <c r="D24" s="6">
        <f>B24-C24</f>
        <v/>
      </c>
    </row>
    <row r="25">
      <c r="A25" s="5" t="inlineStr">
        <is>
          <t>HomeGoods</t>
        </is>
      </c>
      <c r="B25" s="6">
        <f>SUMIF($B$4:$B$21,A25,$C$4:$C$21)</f>
        <v/>
      </c>
      <c r="C25" s="6">
        <f>SUMIF($B$4:$B$21,A25,$D$4:$D$21)</f>
        <v/>
      </c>
      <c r="D25" s="6">
        <f>B25-C25</f>
        <v/>
      </c>
    </row>
    <row r="26">
      <c r="A26" s="5" t="inlineStr">
        <is>
          <t>Clothing</t>
        </is>
      </c>
      <c r="B26" s="6">
        <f>SUMIF($B$4:$B$21,A26,$C$4:$C$21)</f>
        <v/>
      </c>
      <c r="C26" s="6">
        <f>SUMIF($B$4:$B$21,A26,$D$4:$D$21)</f>
        <v/>
      </c>
      <c r="D26" s="6">
        <f>B26-C26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2026-02-03T01:55:15Z</dcterms:created>
  <dcterms:modified xmlns:dcterms="http://purl.org/dc/terms/" xmlns:xsi="http://www.w3.org/2001/XMLSchema-instance" xsi:type="dcterms:W3CDTF">2026-02-03T01:55:15Z</dcterms:modified>
</cp:coreProperties>
</file>